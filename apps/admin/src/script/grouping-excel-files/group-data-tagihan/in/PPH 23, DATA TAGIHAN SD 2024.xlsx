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/>
  <mc:AlternateContent xmlns:mc="http://schemas.openxmlformats.org/markup-compatibility/2006">
    <mc:Choice Requires="x15">
      <x15ac:absPath xmlns:x15ac="http://schemas.microsoft.com/office/spreadsheetml/2010/11/ac" url="/Users/a61403/Desktop/pt-dashboard/pt-dashboard-admin/src/script/grouping-excel-files/group-data-tagihan/in/"/>
    </mc:Choice>
  </mc:AlternateContent>
  <xr:revisionPtr revIDLastSave="0" documentId="13_ncr:1_{3BB14188-FDFD-5F40-B749-802DBB9880B9}" xr6:coauthVersionLast="47" xr6:coauthVersionMax="47" xr10:uidLastSave="{00000000-0000-0000-0000-000000000000}"/>
  <bookViews>
    <workbookView xWindow="4440" yWindow="1960" windowWidth="21600" windowHeight="19160" activeTab="8" xr2:uid="{00000000-000D-0000-FFFF-FFFF00000000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3" i="9" l="1"/>
  <c r="H682" i="9"/>
  <c r="H681" i="9"/>
  <c r="H680" i="9"/>
  <c r="H679" i="9"/>
  <c r="H678" i="9"/>
  <c r="H677" i="9"/>
  <c r="H676" i="9"/>
  <c r="H675" i="9"/>
  <c r="H674" i="9"/>
  <c r="H673" i="9"/>
  <c r="H672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39" i="9"/>
  <c r="H638" i="9"/>
  <c r="H637" i="9"/>
  <c r="H636" i="9"/>
  <c r="H635" i="9"/>
  <c r="H634" i="9"/>
  <c r="H633" i="9"/>
  <c r="H632" i="9"/>
  <c r="H631" i="9"/>
  <c r="H629" i="9"/>
  <c r="H628" i="9"/>
  <c r="H627" i="9"/>
  <c r="H626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2" i="9"/>
  <c r="H511" i="9"/>
  <c r="H510" i="9"/>
  <c r="H509" i="9"/>
  <c r="H508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M44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3" i="9"/>
  <c r="H392" i="9"/>
  <c r="H391" i="9"/>
  <c r="H390" i="9"/>
  <c r="H389" i="9"/>
  <c r="H388" i="9"/>
  <c r="H387" i="9"/>
  <c r="H386" i="9"/>
  <c r="H385" i="9"/>
  <c r="H384" i="9"/>
  <c r="H383" i="9"/>
  <c r="H381" i="9"/>
  <c r="H380" i="9"/>
  <c r="H379" i="9"/>
  <c r="H378" i="9"/>
  <c r="H372" i="9"/>
  <c r="H371" i="9"/>
  <c r="H370" i="9"/>
  <c r="H368" i="9"/>
  <c r="H367" i="9"/>
  <c r="H365" i="9"/>
  <c r="H364" i="9"/>
  <c r="H363" i="9"/>
  <c r="H361" i="9"/>
  <c r="H359" i="9"/>
  <c r="H355" i="9"/>
  <c r="H354" i="9"/>
  <c r="H353" i="9"/>
  <c r="H352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7" i="9"/>
  <c r="H336" i="9"/>
  <c r="H335" i="9"/>
  <c r="H334" i="9"/>
  <c r="H333" i="9"/>
  <c r="H332" i="9"/>
  <c r="H331" i="9"/>
  <c r="H330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1" i="9"/>
  <c r="H310" i="9"/>
  <c r="H309" i="9"/>
  <c r="H308" i="9"/>
  <c r="H307" i="9"/>
  <c r="H306" i="9"/>
  <c r="H305" i="9"/>
  <c r="H304" i="9"/>
  <c r="H303" i="9"/>
  <c r="H302" i="9"/>
  <c r="H301" i="9"/>
  <c r="H299" i="9"/>
  <c r="H298" i="9"/>
  <c r="H295" i="9"/>
  <c r="H294" i="9"/>
  <c r="H293" i="9"/>
  <c r="H292" i="9"/>
  <c r="H290" i="9"/>
  <c r="H289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5" i="9"/>
  <c r="H244" i="9"/>
  <c r="H243" i="9"/>
  <c r="H241" i="9"/>
  <c r="H240" i="9"/>
  <c r="H239" i="9"/>
  <c r="H238" i="9"/>
  <c r="H236" i="9"/>
  <c r="H235" i="9"/>
  <c r="H233" i="9"/>
  <c r="H232" i="9"/>
  <c r="H230" i="9"/>
  <c r="H229" i="9"/>
  <c r="H228" i="9"/>
  <c r="H227" i="9"/>
  <c r="H226" i="9"/>
  <c r="H225" i="9"/>
  <c r="H224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M290" i="8"/>
  <c r="N288" i="8"/>
  <c r="N287" i="8"/>
  <c r="H287" i="8"/>
  <c r="N286" i="8"/>
  <c r="H286" i="8"/>
  <c r="N285" i="8"/>
  <c r="H285" i="8"/>
  <c r="N284" i="8"/>
  <c r="H284" i="8"/>
  <c r="N283" i="8"/>
  <c r="H283" i="8"/>
  <c r="N282" i="8"/>
  <c r="H282" i="8"/>
  <c r="N281" i="8"/>
  <c r="N280" i="8"/>
  <c r="H280" i="8"/>
  <c r="N279" i="8"/>
  <c r="H278" i="8"/>
  <c r="N277" i="8"/>
  <c r="H277" i="8"/>
  <c r="N276" i="8"/>
  <c r="H276" i="8"/>
  <c r="N275" i="8"/>
  <c r="H274" i="8"/>
  <c r="N273" i="8"/>
  <c r="H273" i="8"/>
  <c r="H271" i="8"/>
  <c r="N270" i="8"/>
  <c r="H270" i="8"/>
  <c r="N269" i="8"/>
  <c r="H268" i="8"/>
  <c r="N267" i="8"/>
  <c r="H266" i="8"/>
  <c r="N265" i="8"/>
  <c r="H265" i="8"/>
  <c r="N264" i="8"/>
  <c r="H264" i="8"/>
  <c r="N263" i="8"/>
  <c r="H263" i="8"/>
  <c r="N262" i="8"/>
  <c r="H262" i="8"/>
  <c r="N261" i="8"/>
  <c r="H261" i="8"/>
  <c r="N260" i="8"/>
  <c r="H260" i="8"/>
  <c r="N259" i="8"/>
  <c r="H259" i="8"/>
  <c r="N258" i="8"/>
  <c r="H258" i="8"/>
  <c r="N257" i="8"/>
  <c r="H257" i="8"/>
  <c r="N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2" i="8"/>
  <c r="N231" i="8"/>
  <c r="H230" i="8"/>
  <c r="N229" i="8"/>
  <c r="H228" i="8"/>
  <c r="N227" i="8"/>
  <c r="H226" i="8"/>
  <c r="N225" i="8"/>
  <c r="H225" i="8"/>
  <c r="N224" i="8"/>
  <c r="H223" i="8"/>
  <c r="N222" i="8"/>
  <c r="H222" i="8"/>
  <c r="N221" i="8"/>
  <c r="H220" i="8"/>
  <c r="N219" i="8"/>
  <c r="H219" i="8"/>
  <c r="N218" i="8"/>
  <c r="H218" i="8"/>
  <c r="N217" i="8"/>
  <c r="H216" i="8"/>
  <c r="N215" i="8"/>
  <c r="H214" i="8"/>
  <c r="N213" i="8"/>
  <c r="H212" i="8"/>
  <c r="N211" i="8"/>
  <c r="H211" i="8"/>
  <c r="N210" i="8"/>
  <c r="H210" i="8"/>
  <c r="N209" i="8"/>
  <c r="H209" i="8"/>
  <c r="N208" i="8"/>
  <c r="N207" i="8"/>
  <c r="H207" i="8"/>
  <c r="N206" i="8"/>
  <c r="H205" i="8"/>
  <c r="N204" i="8"/>
  <c r="H204" i="8"/>
  <c r="H202" i="8"/>
  <c r="N201" i="8"/>
  <c r="H201" i="8"/>
  <c r="N200" i="8"/>
  <c r="H200" i="8"/>
  <c r="H198" i="8"/>
  <c r="N197" i="8"/>
  <c r="H196" i="8"/>
  <c r="N195" i="8"/>
  <c r="H195" i="8"/>
  <c r="N194" i="8"/>
  <c r="H194" i="8"/>
  <c r="N193" i="8"/>
  <c r="H193" i="8"/>
  <c r="N192" i="8"/>
  <c r="H192" i="8"/>
  <c r="N191" i="8"/>
  <c r="N190" i="8"/>
  <c r="H190" i="8"/>
  <c r="N189" i="8"/>
  <c r="H189" i="8"/>
  <c r="N188" i="8"/>
  <c r="H188" i="8"/>
  <c r="N187" i="8"/>
  <c r="H187" i="8"/>
  <c r="N186" i="8"/>
  <c r="H186" i="8"/>
  <c r="N185" i="8"/>
  <c r="H185" i="8"/>
  <c r="N184" i="8"/>
  <c r="N183" i="8"/>
  <c r="H183" i="8"/>
  <c r="N182" i="8"/>
  <c r="H182" i="8"/>
  <c r="N181" i="8"/>
  <c r="H180" i="8"/>
  <c r="N179" i="8"/>
  <c r="H179" i="8"/>
  <c r="N178" i="8"/>
  <c r="H177" i="8"/>
  <c r="N176" i="8"/>
  <c r="H175" i="8"/>
  <c r="N174" i="8"/>
  <c r="H174" i="8"/>
  <c r="H172" i="8"/>
  <c r="N171" i="8"/>
  <c r="H170" i="8"/>
  <c r="N169" i="8"/>
  <c r="H168" i="8"/>
  <c r="N167" i="8"/>
  <c r="N166" i="8"/>
  <c r="H166" i="8"/>
  <c r="N165" i="8"/>
  <c r="N164" i="8"/>
  <c r="H164" i="8"/>
  <c r="N163" i="8"/>
  <c r="N162" i="8"/>
  <c r="H162" i="8"/>
  <c r="N161" i="8"/>
  <c r="H161" i="8"/>
  <c r="N159" i="8"/>
  <c r="H159" i="8"/>
  <c r="N158" i="8"/>
  <c r="N157" i="8"/>
  <c r="H157" i="8"/>
  <c r="N156" i="8"/>
  <c r="H156" i="8"/>
  <c r="N155" i="8"/>
  <c r="H155" i="8"/>
  <c r="N154" i="8"/>
  <c r="H154" i="8"/>
  <c r="N153" i="8"/>
  <c r="H153" i="8"/>
  <c r="N152" i="8"/>
  <c r="H152" i="8"/>
  <c r="N151" i="8"/>
  <c r="H150" i="8"/>
  <c r="H149" i="8"/>
  <c r="H146" i="8"/>
  <c r="N145" i="8"/>
  <c r="H145" i="8"/>
  <c r="N144" i="8"/>
  <c r="H144" i="8"/>
  <c r="N143" i="8"/>
  <c r="H143" i="8"/>
  <c r="N142" i="8"/>
  <c r="H142" i="8"/>
  <c r="N141" i="8"/>
  <c r="H141" i="8"/>
  <c r="H140" i="8"/>
  <c r="H139" i="8"/>
  <c r="H137" i="8"/>
  <c r="N136" i="8"/>
  <c r="H136" i="8"/>
  <c r="N135" i="8"/>
  <c r="H135" i="8"/>
  <c r="N134" i="8"/>
  <c r="H133" i="8"/>
  <c r="H132" i="8"/>
  <c r="N130" i="8"/>
  <c r="H130" i="8"/>
  <c r="N129" i="8"/>
  <c r="H128" i="8"/>
  <c r="N127" i="8"/>
  <c r="H127" i="8"/>
  <c r="N126" i="8"/>
  <c r="N125" i="8"/>
  <c r="H125" i="8"/>
  <c r="N124" i="8"/>
  <c r="N123" i="8"/>
  <c r="H123" i="8"/>
  <c r="N122" i="8"/>
  <c r="N121" i="8"/>
  <c r="N120" i="8"/>
  <c r="N119" i="8"/>
  <c r="N117" i="8"/>
  <c r="H117" i="8"/>
  <c r="H114" i="8"/>
  <c r="H113" i="8"/>
  <c r="N112" i="8"/>
  <c r="N111" i="8"/>
  <c r="H111" i="8"/>
  <c r="N110" i="8"/>
  <c r="H110" i="8"/>
  <c r="N109" i="8"/>
  <c r="H109" i="8"/>
  <c r="N108" i="8"/>
  <c r="H108" i="8"/>
  <c r="N107" i="8"/>
  <c r="H107" i="8"/>
  <c r="N106" i="8"/>
  <c r="H106" i="8"/>
  <c r="N105" i="8"/>
  <c r="H105" i="8"/>
  <c r="N104" i="8"/>
  <c r="H104" i="8"/>
  <c r="N103" i="8"/>
  <c r="N102" i="8"/>
  <c r="H102" i="8"/>
  <c r="N101" i="8"/>
  <c r="N100" i="8"/>
  <c r="H100" i="8"/>
  <c r="H98" i="8"/>
  <c r="H97" i="8"/>
  <c r="H96" i="8"/>
  <c r="H94" i="8"/>
  <c r="N93" i="8"/>
  <c r="H92" i="8"/>
  <c r="I92" i="8" s="1"/>
  <c r="H91" i="8"/>
  <c r="H90" i="8"/>
  <c r="J88" i="8"/>
  <c r="N88" i="8" s="1"/>
  <c r="H88" i="8"/>
  <c r="N86" i="8"/>
  <c r="H86" i="8"/>
  <c r="H85" i="8"/>
  <c r="N84" i="8"/>
  <c r="N83" i="8"/>
  <c r="H83" i="8"/>
  <c r="N82" i="8"/>
  <c r="H82" i="8"/>
  <c r="N81" i="8"/>
  <c r="H81" i="8"/>
  <c r="N80" i="8"/>
  <c r="N79" i="8"/>
  <c r="H79" i="8"/>
  <c r="N78" i="8"/>
  <c r="H78" i="8"/>
  <c r="N77" i="8"/>
  <c r="H77" i="8"/>
  <c r="N76" i="8"/>
  <c r="H76" i="8"/>
  <c r="N75" i="8"/>
  <c r="H75" i="8"/>
  <c r="N74" i="8"/>
  <c r="H74" i="8"/>
  <c r="N73" i="8"/>
  <c r="H73" i="8"/>
  <c r="N72" i="8"/>
  <c r="H72" i="8"/>
  <c r="N71" i="8"/>
  <c r="N70" i="8"/>
  <c r="H70" i="8"/>
  <c r="N68" i="8"/>
  <c r="H68" i="8"/>
  <c r="H67" i="8"/>
  <c r="H66" i="8"/>
  <c r="N64" i="8"/>
  <c r="N63" i="8"/>
  <c r="H63" i="8"/>
  <c r="N61" i="8"/>
  <c r="H61" i="8"/>
  <c r="N60" i="8"/>
  <c r="H60" i="8"/>
  <c r="N58" i="8"/>
  <c r="H58" i="8"/>
  <c r="H56" i="8"/>
  <c r="N55" i="8"/>
  <c r="N54" i="8"/>
  <c r="H54" i="8"/>
  <c r="N53" i="8"/>
  <c r="N52" i="8"/>
  <c r="H52" i="8"/>
  <c r="N51" i="8"/>
  <c r="N50" i="8"/>
  <c r="H50" i="8"/>
  <c r="N49" i="8"/>
  <c r="N48" i="8"/>
  <c r="H48" i="8"/>
  <c r="N47" i="8"/>
  <c r="N46" i="8"/>
  <c r="H46" i="8"/>
  <c r="N45" i="8"/>
  <c r="N44" i="8"/>
  <c r="H44" i="8"/>
  <c r="N43" i="8"/>
  <c r="N42" i="8"/>
  <c r="H42" i="8"/>
  <c r="N41" i="8"/>
  <c r="N40" i="8"/>
  <c r="H40" i="8"/>
  <c r="N39" i="8"/>
  <c r="H39" i="8"/>
  <c r="N38" i="8"/>
  <c r="N37" i="8"/>
  <c r="H37" i="8"/>
  <c r="N36" i="8"/>
  <c r="N35" i="8"/>
  <c r="H35" i="8"/>
  <c r="N34" i="8"/>
  <c r="N33" i="8"/>
  <c r="H33" i="8"/>
  <c r="N32" i="8"/>
  <c r="N31" i="8"/>
  <c r="H31" i="8"/>
  <c r="N30" i="8"/>
  <c r="N29" i="8"/>
  <c r="H29" i="8"/>
  <c r="N28" i="8"/>
  <c r="H28" i="8"/>
  <c r="N27" i="8"/>
  <c r="H27" i="8"/>
  <c r="N26" i="8"/>
  <c r="N25" i="8"/>
  <c r="H25" i="8"/>
  <c r="N24" i="8"/>
  <c r="H24" i="8"/>
  <c r="N23" i="8"/>
  <c r="N22" i="8"/>
  <c r="N21" i="8"/>
  <c r="N20" i="8"/>
  <c r="H20" i="8"/>
  <c r="N19" i="8"/>
  <c r="H19" i="8"/>
  <c r="N18" i="8"/>
  <c r="H18" i="8"/>
  <c r="N17" i="8"/>
  <c r="H17" i="8"/>
  <c r="N16" i="8"/>
  <c r="N15" i="8"/>
  <c r="H15" i="8"/>
  <c r="N14" i="8"/>
  <c r="H14" i="8"/>
  <c r="N13" i="8"/>
  <c r="H13" i="8"/>
  <c r="N12" i="8"/>
  <c r="N11" i="8"/>
  <c r="H11" i="8"/>
  <c r="N10" i="8"/>
  <c r="N9" i="8"/>
  <c r="H9" i="8"/>
  <c r="N8" i="8"/>
  <c r="N7" i="8"/>
  <c r="H7" i="8"/>
  <c r="H5" i="8"/>
  <c r="H4" i="8"/>
  <c r="H26" i="7"/>
  <c r="H25" i="7"/>
  <c r="H24" i="7"/>
  <c r="H22" i="7"/>
  <c r="H20" i="7"/>
  <c r="H19" i="7"/>
  <c r="H17" i="7"/>
  <c r="H16" i="7"/>
  <c r="H15" i="7"/>
  <c r="H13" i="7"/>
  <c r="H11" i="7"/>
  <c r="H10" i="7"/>
  <c r="H9" i="7"/>
  <c r="H7" i="7"/>
  <c r="M71" i="6"/>
  <c r="M45" i="5"/>
  <c r="M51" i="4"/>
  <c r="M89" i="3"/>
  <c r="M50" i="2"/>
</calcChain>
</file>

<file path=xl/sharedStrings.xml><?xml version="1.0" encoding="utf-8"?>
<sst xmlns="http://schemas.openxmlformats.org/spreadsheetml/2006/main" count="5533" uniqueCount="3115">
  <si>
    <t xml:space="preserve">TGL </t>
  </si>
  <si>
    <t>NO KWT</t>
  </si>
  <si>
    <t>NO FAKTUR</t>
  </si>
  <si>
    <t>NAMA PT</t>
  </si>
  <si>
    <t>NAMA PROYEK</t>
  </si>
  <si>
    <t>KETERANGAN</t>
  </si>
  <si>
    <t>DPP</t>
  </si>
  <si>
    <t>PPN</t>
  </si>
  <si>
    <t>TGL BAYAR</t>
  </si>
  <si>
    <t>NILAI DPP PPH</t>
  </si>
  <si>
    <t>NO BUKTI POTONG</t>
  </si>
  <si>
    <t>TGL PPH</t>
  </si>
  <si>
    <t>NILAI PPH 23</t>
  </si>
  <si>
    <t>0001/PPA-I/24</t>
  </si>
  <si>
    <t>010.004-24.96145379</t>
  </si>
  <si>
    <t>TOTAL BANGUN PERSADA,TBK</t>
  </si>
  <si>
    <t>SUMBANGSEL PROYEK</t>
  </si>
  <si>
    <t>SEWA 1 NOV 2023 SD 30 NOV 2023</t>
  </si>
  <si>
    <t>0002/PPA-I/24</t>
  </si>
  <si>
    <t>010.004-24.96145380</t>
  </si>
  <si>
    <t>JO.TOTAL-SHIMIZU ADR APARTMENT AND OFFICE</t>
  </si>
  <si>
    <t>ADR 1</t>
  </si>
  <si>
    <t>SEWA 1 OKT 2023 SD 31 OKT 2023</t>
  </si>
  <si>
    <t>0003/PPA-I/24</t>
  </si>
  <si>
    <t>010.004-24.96145381</t>
  </si>
  <si>
    <t>ADR 2</t>
  </si>
  <si>
    <t>0004/PPA-I/24</t>
  </si>
  <si>
    <t>010.004-24.96145382</t>
  </si>
  <si>
    <t>SUKSES BANGUN SINERGI</t>
  </si>
  <si>
    <t>THE SMITH</t>
  </si>
  <si>
    <t>SEWA 7 DES 2023 SD 6 JAN 2024</t>
  </si>
  <si>
    <t>0005/PPA-I/24</t>
  </si>
  <si>
    <t>010.004-24.96145383</t>
  </si>
  <si>
    <t>ACSET INDONUSA</t>
  </si>
  <si>
    <t>GENOVA</t>
  </si>
  <si>
    <t>SEWA 1 MEI 2023 SD 31 OKT 2023</t>
  </si>
  <si>
    <t>0006/PPA-I/24</t>
  </si>
  <si>
    <t>010.004-24.96145384</t>
  </si>
  <si>
    <t>THAMRIN NINE</t>
  </si>
  <si>
    <t>SEWA 30 JUNI SD 30 NOV 2023</t>
  </si>
  <si>
    <t>0007/PPA-I/24</t>
  </si>
  <si>
    <t>010.004-24.96145385</t>
  </si>
  <si>
    <t>SEKOLAH CIKAL</t>
  </si>
  <si>
    <t>CLAIM ALAT</t>
  </si>
  <si>
    <t>0008/PPA-I/24</t>
  </si>
  <si>
    <t>010.004-24.96145386</t>
  </si>
  <si>
    <t>TOTAL PERSADA INDONESIA</t>
  </si>
  <si>
    <t>BLITAR</t>
  </si>
  <si>
    <t>SEWA 9 OKT 2023 SD 8 NOV 2023</t>
  </si>
  <si>
    <t>0009/PPA-I/24</t>
  </si>
  <si>
    <t>010.004-24.96145387</t>
  </si>
  <si>
    <t>SEWA 26 SEPT 2023 SD 25 OKT 2023</t>
  </si>
  <si>
    <t>0010/PPA-I/24</t>
  </si>
  <si>
    <t>010.004-24.96145388</t>
  </si>
  <si>
    <t>SEWA 26 OKT 2023 SD 25 NOV 2023</t>
  </si>
  <si>
    <t>0011/PPA-I/24</t>
  </si>
  <si>
    <t>010.004-24.96145389</t>
  </si>
  <si>
    <t>TARAKAN</t>
  </si>
  <si>
    <t>SEWA 27 OKT 2023 SD 26 NOV 2023</t>
  </si>
  <si>
    <t>0012/PPA-I/24</t>
  </si>
  <si>
    <t>010.004-24.96145390</t>
  </si>
  <si>
    <t>SEWA 29 OKT 2023 SD 28 NOV 2023</t>
  </si>
  <si>
    <t>0013/PPA-I/24</t>
  </si>
  <si>
    <t>010.004-24.96145391</t>
  </si>
  <si>
    <t>MAYORA</t>
  </si>
  <si>
    <t>SEWA 10 SEPT 2023 SD 9 OKT 2023</t>
  </si>
  <si>
    <t>0014/PPA-I/24</t>
  </si>
  <si>
    <t>010.004-24.96145392</t>
  </si>
  <si>
    <t>SEWA 10 OKT 2023 SD 9 NOV 2023</t>
  </si>
  <si>
    <t>0015/PPA-I/24</t>
  </si>
  <si>
    <t>010.004-24.96145393</t>
  </si>
  <si>
    <t>ELEVEE</t>
  </si>
  <si>
    <t>PENJUALAN</t>
  </si>
  <si>
    <t>0016/PPA-I/24</t>
  </si>
  <si>
    <t>010.004-24.96145394</t>
  </si>
  <si>
    <t>JAGAT KONSTRUKSI ABDIPRSADA</t>
  </si>
  <si>
    <t>SUMARECON</t>
  </si>
  <si>
    <t>SEWA 25 SEPT 2023 SD 24 OKT 2023</t>
  </si>
  <si>
    <t>0017/PPA-I/24</t>
  </si>
  <si>
    <t>010.004-24.96145395</t>
  </si>
  <si>
    <t>THE BARN</t>
  </si>
  <si>
    <t>SEWA 15 SEPT 2023 SD 14 OKT 2023</t>
  </si>
  <si>
    <t>0018/PPA-I/24</t>
  </si>
  <si>
    <t>010.004-24.96145396</t>
  </si>
  <si>
    <t>SEWA 15 OKT 2023 SD 14 NOV 2023</t>
  </si>
  <si>
    <t>0019/PPA-I/24</t>
  </si>
  <si>
    <t>010.004-24.96145397</t>
  </si>
  <si>
    <t>INNOTECH SYSTEMS</t>
  </si>
  <si>
    <t>B RESIDENCE</t>
  </si>
  <si>
    <t>SEWA 14 SEPT 2023 SD 13 OKT 2023</t>
  </si>
  <si>
    <t>0020/PPA-I/24</t>
  </si>
  <si>
    <t>RUKO KLENDER</t>
  </si>
  <si>
    <t>0021/PPA-I/24</t>
  </si>
  <si>
    <t>010.004-24.96145399</t>
  </si>
  <si>
    <t>ASYA SENTARIUM gr 5000220307</t>
  </si>
  <si>
    <t>SEWA 1 OKT 2023 SD 31 OKT 2023/8192</t>
  </si>
  <si>
    <t>0022/PPA-I/24</t>
  </si>
  <si>
    <t>010.004-24.96145400</t>
  </si>
  <si>
    <t>ASYA SENTARIUM gr 5000220305</t>
  </si>
  <si>
    <t>SEWA 1 OKT 2023 SD 31 OKT 2023/8108</t>
  </si>
  <si>
    <t>0023/PPA-I/24</t>
  </si>
  <si>
    <t>010.004-24.96145401</t>
  </si>
  <si>
    <t>ASYA SENTARIUM gr 5000220304</t>
  </si>
  <si>
    <t>SEWA 1 OKT 2023 SD 31 OKT 2023/7694</t>
  </si>
  <si>
    <t>0024/PPA-I/24</t>
  </si>
  <si>
    <t>010.004-24.96145402</t>
  </si>
  <si>
    <t>ASYA SENTARIUM gr 5000220303</t>
  </si>
  <si>
    <t>SEWA 1 OKT 2023 SD 31 OKT 2023/8055</t>
  </si>
  <si>
    <t>0025/PPA-I/24</t>
  </si>
  <si>
    <t>010.004-24.96145403</t>
  </si>
  <si>
    <t>ASYA SENTARIUM gr 5000220302</t>
  </si>
  <si>
    <t>SEWA 1 OKT 2023 SD 31 OKT 2023/7553</t>
  </si>
  <si>
    <t>0026/PPA-I/24</t>
  </si>
  <si>
    <t>010.004-24.96145404</t>
  </si>
  <si>
    <t>ASYA SENTARIUM gr 5000220301</t>
  </si>
  <si>
    <t>SEWA 1 AGST 2023 SD 31 AGST 2023/7694</t>
  </si>
  <si>
    <t>0027/PPA-I/24</t>
  </si>
  <si>
    <t>010.004-24.96145405</t>
  </si>
  <si>
    <t>ASYA SENTARIUM gr 5000215569</t>
  </si>
  <si>
    <t>SEWA 1 SEPT 2023 SD 30 SEPT 2023/7694</t>
  </si>
  <si>
    <t>0028/PPA-I/24</t>
  </si>
  <si>
    <t>011.004-24.96145406</t>
  </si>
  <si>
    <t>INTERDESIGN</t>
  </si>
  <si>
    <t>SUMARECON BANDUNG</t>
  </si>
  <si>
    <t>SEWA 1 DES 2023 SD 31 DES 2023</t>
  </si>
  <si>
    <t>0029/PPA-I/24</t>
  </si>
  <si>
    <t>010.004-24.96145407</t>
  </si>
  <si>
    <t>DEMOB DES 2023</t>
  </si>
  <si>
    <t>0030/PPA-I/24</t>
  </si>
  <si>
    <t>010.004-24.96145408</t>
  </si>
  <si>
    <t>CLAIM RUSAK AFKIR SD 31 DES 2023</t>
  </si>
  <si>
    <t>0031/PPA-I/24</t>
  </si>
  <si>
    <t>010.004-24.96145409</t>
  </si>
  <si>
    <t>GELORA BANGUN LESTARI</t>
  </si>
  <si>
    <t>AL AZHAR SUMARECON</t>
  </si>
  <si>
    <t>0032/PPA-I/24</t>
  </si>
  <si>
    <t>010.004-24.96145410</t>
  </si>
  <si>
    <t>IDEA MANDIRI</t>
  </si>
  <si>
    <t>GUDANG CIKANDE</t>
  </si>
  <si>
    <t>0033/PPA-I/24</t>
  </si>
  <si>
    <t>010.004-24.96145411</t>
  </si>
  <si>
    <t>0034/PPA-I/24</t>
  </si>
  <si>
    <t>011.004-24.96145412</t>
  </si>
  <si>
    <t>RANCAMAYA</t>
  </si>
  <si>
    <t>0035/PPA-I/24</t>
  </si>
  <si>
    <t>010.004-24.96145413</t>
  </si>
  <si>
    <t>CSHQ</t>
  </si>
  <si>
    <t>SEWA 1 SEPT 2023 SD 30 SEPT 2023</t>
  </si>
  <si>
    <t>0036/PPA-I/24</t>
  </si>
  <si>
    <t>010.004-24.96145414</t>
  </si>
  <si>
    <t>0037/PPA-I/24</t>
  </si>
  <si>
    <t>010.004-24.96145415</t>
  </si>
  <si>
    <t>SANTUARI BALI</t>
  </si>
  <si>
    <t>0038/PPA-I/24</t>
  </si>
  <si>
    <t>010.004-24.96145416</t>
  </si>
  <si>
    <t>HARTAM</t>
  </si>
  <si>
    <t>GAJAH TUNGGAL</t>
  </si>
  <si>
    <t>0039/PPA-I/24</t>
  </si>
  <si>
    <t>010.004-24.96145417</t>
  </si>
  <si>
    <t>PONDOK INDAH</t>
  </si>
  <si>
    <t>0040/PPA-I/24</t>
  </si>
  <si>
    <t>010.004-24.96145418</t>
  </si>
  <si>
    <t>PAKOUKINA CARWHEEL</t>
  </si>
  <si>
    <t>0041/PPA-I/24</t>
  </si>
  <si>
    <t>010.004-24.96145419</t>
  </si>
  <si>
    <t>ARM</t>
  </si>
  <si>
    <t>0042/PPA-I/24</t>
  </si>
  <si>
    <t>010.004-24.96145420</t>
  </si>
  <si>
    <t>ACSET INDONUSA TBK</t>
  </si>
  <si>
    <t>0043/PPA-I/24</t>
  </si>
  <si>
    <t>010.004-24.96145421</t>
  </si>
  <si>
    <t>BCA NEW DATA CENTER</t>
  </si>
  <si>
    <t>SEWA 1 JULI 2023 SD 31 JULI 2023</t>
  </si>
  <si>
    <t>0044/PPA-I/24</t>
  </si>
  <si>
    <t>010.004-24.96145422</t>
  </si>
  <si>
    <t>SEWA 1 AGST 2023 SD 31 AGST 2023</t>
  </si>
  <si>
    <t>0045/PPA-I/24</t>
  </si>
  <si>
    <t>010.004-24.96145423</t>
  </si>
  <si>
    <t>0046/PPA-I/24</t>
  </si>
  <si>
    <t>010.004-24.96145424</t>
  </si>
  <si>
    <t>0048/PPA-I/24</t>
  </si>
  <si>
    <t>010.004-24.96145426</t>
  </si>
  <si>
    <t>DEMOB 12/1/24</t>
  </si>
  <si>
    <t>0049/PPA-I/24</t>
  </si>
  <si>
    <t>010.004-24.96145427</t>
  </si>
  <si>
    <t>PT ACSET PONDASI</t>
  </si>
  <si>
    <t>BOREPILE CIPALI gr5000222182</t>
  </si>
  <si>
    <t>SEWA / 9702</t>
  </si>
  <si>
    <t>0050/PPA-I/24</t>
  </si>
  <si>
    <t>010.004-24.96145428</t>
  </si>
  <si>
    <t>BOREPILE CIPALI gr5000222188</t>
  </si>
  <si>
    <t>SEWA / 9810</t>
  </si>
  <si>
    <t>0051/PPA-I/24</t>
  </si>
  <si>
    <t>010.004-24.96145429</t>
  </si>
  <si>
    <t>BOREPILE CIPALI gr5000222187</t>
  </si>
  <si>
    <t>SEWA / 9703</t>
  </si>
  <si>
    <t>0052/PPA-I/24</t>
  </si>
  <si>
    <t>010.004-24.96145430</t>
  </si>
  <si>
    <t>PT INDONAKANO</t>
  </si>
  <si>
    <t>ESR</t>
  </si>
  <si>
    <t>PENJUALAN plat kapal</t>
  </si>
  <si>
    <t>0053/PPA-I/24</t>
  </si>
  <si>
    <t>010.004-24.96145431</t>
  </si>
  <si>
    <t>0054/PPA-I/24</t>
  </si>
  <si>
    <t>010.004-24.96145432</t>
  </si>
  <si>
    <t>BOREPILE CIPALI gr 5000222457</t>
  </si>
  <si>
    <t>SEWA /10079</t>
  </si>
  <si>
    <t>0055/PPA-I/24</t>
  </si>
  <si>
    <t>010.004-24.96145433</t>
  </si>
  <si>
    <t>PT JAGAT KONSTRUKSI</t>
  </si>
  <si>
    <t>CIJAYANTI SENTUL</t>
  </si>
  <si>
    <t>SEWA 24 SEPT - 23 OKTOBER 2023</t>
  </si>
  <si>
    <t>0056/PPA-I/24</t>
  </si>
  <si>
    <t>010.004-24.96145434</t>
  </si>
  <si>
    <t>DEMOB 20/10/23 ( 1 KALI)</t>
  </si>
  <si>
    <t>0057/PPA-I/24</t>
  </si>
  <si>
    <t>010.004-24.96145435</t>
  </si>
  <si>
    <t>SEWA 24 OKT - 23 NOVEMBER 2023</t>
  </si>
  <si>
    <t>0058/PPA-I/24</t>
  </si>
  <si>
    <t>010.004-24.96145436</t>
  </si>
  <si>
    <t>PT INNOTECH SYSTEM</t>
  </si>
  <si>
    <t>AHM</t>
  </si>
  <si>
    <t>SEWA 1 NOVEMBER 2023 - 30 NOVEMBER 2023</t>
  </si>
  <si>
    <t>0059/PPA-I/24</t>
  </si>
  <si>
    <t>010.004-24.96145437</t>
  </si>
  <si>
    <t xml:space="preserve">ELEVEE </t>
  </si>
  <si>
    <t>PENJUALAN TIEROD 2 = 150 PO 4200028256</t>
  </si>
  <si>
    <t>0060/PPA-I/24</t>
  </si>
  <si>
    <t>010.004-24.96145438</t>
  </si>
  <si>
    <t xml:space="preserve"> BATAL </t>
  </si>
  <si>
    <t>0061/PPA-I/24</t>
  </si>
  <si>
    <t>010.004-24.96145439</t>
  </si>
  <si>
    <t>DEMOB 5X (26/10-13/11)</t>
  </si>
  <si>
    <t>0062/PPA-I/24</t>
  </si>
  <si>
    <t>010.004-24.96145440</t>
  </si>
  <si>
    <t>PT NUSA RAYA CIPTA</t>
  </si>
  <si>
    <t>RECKITT</t>
  </si>
  <si>
    <t>SEWA 28 DES 2023 SD 31 DES 2023</t>
  </si>
  <si>
    <t>0063/PPA-I/24</t>
  </si>
  <si>
    <t>010.004-24.96145441</t>
  </si>
  <si>
    <t>NAVAPARK</t>
  </si>
  <si>
    <t>0064/PPA-I/24</t>
  </si>
  <si>
    <t>010.004-24.96145442</t>
  </si>
  <si>
    <t>PINDODELI2</t>
  </si>
  <si>
    <t>0065/PPA-I/24</t>
  </si>
  <si>
    <t>010.004-24.96145443</t>
  </si>
  <si>
    <t>CARTENZ</t>
  </si>
  <si>
    <t>0066/PPA-I/25</t>
  </si>
  <si>
    <t>010.004-24.96145444</t>
  </si>
  <si>
    <t>CIPLAZ GARUT</t>
  </si>
  <si>
    <t>1 JUNI 2023 - 30 JUNI 2023</t>
  </si>
  <si>
    <t>0067/PPA-I/25</t>
  </si>
  <si>
    <t>010.004-24.96145445</t>
  </si>
  <si>
    <t>1 JULI 2023 - 31 JULI 2023</t>
  </si>
  <si>
    <t>0068/PPA-I/24</t>
  </si>
  <si>
    <t>010.004-24.96145446</t>
  </si>
  <si>
    <t>1 AGUSTUS 2023 - 31 AGUSTUS 2023</t>
  </si>
  <si>
    <t>0069/PPA-I/24</t>
  </si>
  <si>
    <t>010.004-24.96145447</t>
  </si>
  <si>
    <t>1 SEPTEMBER 2023 - 30 SEPTEMBER 2023</t>
  </si>
  <si>
    <t>0070/PPA-I/24</t>
  </si>
  <si>
    <t>010.004-24.96145448</t>
  </si>
  <si>
    <t>1 OKTOBER 2023 - 31 OKTOBER 2023</t>
  </si>
  <si>
    <t>0071/PPA-I/24</t>
  </si>
  <si>
    <t>010.004-24.96145449</t>
  </si>
  <si>
    <t>0072/PPA-I/24</t>
  </si>
  <si>
    <t>010.004-24.96145450</t>
  </si>
  <si>
    <t>0073/PPA-I/24</t>
  </si>
  <si>
    <t>010.004-24.96145451</t>
  </si>
  <si>
    <t>REZ</t>
  </si>
  <si>
    <t>0074/PPA-I/24</t>
  </si>
  <si>
    <t>010.004-24.96145452</t>
  </si>
  <si>
    <t>PURI (1)</t>
  </si>
  <si>
    <t>0075/PPA-I/24</t>
  </si>
  <si>
    <t>010.004-24.96145453</t>
  </si>
  <si>
    <t>PT KARMELINDO</t>
  </si>
  <si>
    <t>GUDANG DSO</t>
  </si>
  <si>
    <t>SEWA 25 NOV 2023 SD 20 JAN 2024</t>
  </si>
  <si>
    <t>0076/PPA-I/24</t>
  </si>
  <si>
    <t>010.004-24.96145454</t>
  </si>
  <si>
    <t>0077/PPA-I/24</t>
  </si>
  <si>
    <t>080.004-24.96145455</t>
  </si>
  <si>
    <t>SIMATELEX</t>
  </si>
  <si>
    <t>0078/PPA-I/24</t>
  </si>
  <si>
    <t>080.004-24.96145456</t>
  </si>
  <si>
    <t>0079/PPA-I/24</t>
  </si>
  <si>
    <t>080.004-24.96145457</t>
  </si>
  <si>
    <t>0080/PPA-I/24</t>
  </si>
  <si>
    <t>080.004-24.96145458</t>
  </si>
  <si>
    <t>0081/PPA-I/24</t>
  </si>
  <si>
    <t>010.004-24.96145459</t>
  </si>
  <si>
    <t>SEWA 10 AGST 2023 SD 9 SEPT 2023</t>
  </si>
  <si>
    <t>0082/PPA-I/24</t>
  </si>
  <si>
    <t>010.004-24.96145460</t>
  </si>
  <si>
    <t>SEWA 10 NOV 2023 SD 9 DES 2023</t>
  </si>
  <si>
    <t>0083/PPA-I/24</t>
  </si>
  <si>
    <t>010.004-24.96145461</t>
  </si>
  <si>
    <t>0084/PPA-I/24</t>
  </si>
  <si>
    <t>010.004-24.96145462</t>
  </si>
  <si>
    <t>0085/PPA-I/24</t>
  </si>
  <si>
    <t>010.004-24.96145463</t>
  </si>
  <si>
    <t>SUMARECON A1106</t>
  </si>
  <si>
    <t>SEWA 25 AGST 2023 SD 24 SEPT 2023</t>
  </si>
  <si>
    <t>0086/PPA-I/24</t>
  </si>
  <si>
    <t>010.004-24.96145464</t>
  </si>
  <si>
    <t>SEWA 25 OKT 2023 SD 24 NOV 2023</t>
  </si>
  <si>
    <t>0087/PPA-I/24</t>
  </si>
  <si>
    <t>010.004-24.96145465</t>
  </si>
  <si>
    <t>SEWA 25 NOV 2023 SD 24 DES 2023</t>
  </si>
  <si>
    <t>0088/PPA-I/24</t>
  </si>
  <si>
    <t>010.004-24.96145466</t>
  </si>
  <si>
    <t>SEWA 15 NOV 2023 SD 14 DES 2023</t>
  </si>
  <si>
    <t>0089/PPA-I/24</t>
  </si>
  <si>
    <t>010.004-24.96145467</t>
  </si>
  <si>
    <t>SEWA 15 DES 2023CSD 14 JAN 2024</t>
  </si>
  <si>
    <t>0090/PPA-I/24</t>
  </si>
  <si>
    <t>010.004-24.96145468</t>
  </si>
  <si>
    <t>ANTASARI PLACE</t>
  </si>
  <si>
    <t>SEWA 7 SEPT 2023 SD 6 OKT 2023</t>
  </si>
  <si>
    <t>0091/PPA-I/24</t>
  </si>
  <si>
    <t>010.004-24.96145469</t>
  </si>
  <si>
    <t>SEWA 7 OKT 2023 SD 6 NOV 2023</t>
  </si>
  <si>
    <t>0092/PPA-I/24</t>
  </si>
  <si>
    <t>010.004-24.96145470</t>
  </si>
  <si>
    <t>BOREPILE CIPALI gr 5000223698</t>
  </si>
  <si>
    <t>SEWA 23 DES 2023 SD 22 JAN 2024/ 10146</t>
  </si>
  <si>
    <t>0093/PPA-I/24</t>
  </si>
  <si>
    <t>010.004-24.96145471</t>
  </si>
  <si>
    <t>NUSA RAYA CIPTA</t>
  </si>
  <si>
    <t>0094/PPA-I/24</t>
  </si>
  <si>
    <t>010.004-24.96145472</t>
  </si>
  <si>
    <t>ALIA DIGITAL PRINTEX</t>
  </si>
  <si>
    <t>H.UJANG ANDA</t>
  </si>
  <si>
    <t>MOBILISASI</t>
  </si>
  <si>
    <t>0095/PPA-I/24</t>
  </si>
  <si>
    <t>010.004-24.96145473</t>
  </si>
  <si>
    <t>0096/PPA-I/24</t>
  </si>
  <si>
    <t>010.004-24.96145474</t>
  </si>
  <si>
    <t>0097/PPA-I/24</t>
  </si>
  <si>
    <t>010.004-24.96145475</t>
  </si>
  <si>
    <t>INDONAKANO</t>
  </si>
  <si>
    <t>SEWA 1 JAN 2024 SD 31 JAN 2024</t>
  </si>
  <si>
    <t>0098/PPA-I/24</t>
  </si>
  <si>
    <t>010.004-24.96145476</t>
  </si>
  <si>
    <t>OAJ</t>
  </si>
  <si>
    <t>0099/PPA-I/24</t>
  </si>
  <si>
    <t>010.004-24.96145477</t>
  </si>
  <si>
    <t>IJWP</t>
  </si>
  <si>
    <t>0100/PPA-I/24</t>
  </si>
  <si>
    <t>010.004-24.96145478</t>
  </si>
  <si>
    <t>NARUMI</t>
  </si>
  <si>
    <t>0101/PPA-I/24</t>
  </si>
  <si>
    <t>010.004-24.96145479</t>
  </si>
  <si>
    <t>PANASONIC GOBEL + PHCI</t>
  </si>
  <si>
    <t>0102/PPA-I/24</t>
  </si>
  <si>
    <t>010.004-24.96145480</t>
  </si>
  <si>
    <t>SMII</t>
  </si>
  <si>
    <t>0103/PPA-II/24</t>
  </si>
  <si>
    <t>010.004-24.96145481</t>
  </si>
  <si>
    <t>HARTAM KARYA MANDIRI</t>
  </si>
  <si>
    <t>0104/PPA-II/24</t>
  </si>
  <si>
    <t>010.004-24.96145482</t>
  </si>
  <si>
    <t>0105/PPA-II/24</t>
  </si>
  <si>
    <t>010.004-24.96145483</t>
  </si>
  <si>
    <t>PAKOAKUINA</t>
  </si>
  <si>
    <t>0106/PPA-II/24</t>
  </si>
  <si>
    <t>010.004-24.96145484</t>
  </si>
  <si>
    <t>SUCACO</t>
  </si>
  <si>
    <t>SEWA 27 JAN 2024 SD 31 JAN 2024</t>
  </si>
  <si>
    <t>0107/PPA-II/24</t>
  </si>
  <si>
    <t>010.004-24.96145485</t>
  </si>
  <si>
    <t>INTERDESIGN CIPTA OPTIMA</t>
  </si>
  <si>
    <t>0108/PPA-II/24</t>
  </si>
  <si>
    <t>010.004-24.96145486</t>
  </si>
  <si>
    <t>0109/PPA-II/24</t>
  </si>
  <si>
    <t>010.004-24.96145487</t>
  </si>
  <si>
    <t xml:space="preserve">SUMBANGSEL </t>
  </si>
  <si>
    <t>CLAIM ALAT 1</t>
  </si>
  <si>
    <t>0110/PPA-II/24</t>
  </si>
  <si>
    <t>010.004-24.96145488</t>
  </si>
  <si>
    <t>CLAIM ALAT 2</t>
  </si>
  <si>
    <t>0111/PPA-II/24</t>
  </si>
  <si>
    <t>010.004-24.96145489</t>
  </si>
  <si>
    <t>SUMBANGSEL PUSAT</t>
  </si>
  <si>
    <t>0112/PPA-II/24</t>
  </si>
  <si>
    <t>010.004-24.96145490</t>
  </si>
  <si>
    <t>0113/PPA-II/24</t>
  </si>
  <si>
    <t>010.004-24.96145491</t>
  </si>
  <si>
    <t>0114/PPA-II/24</t>
  </si>
  <si>
    <t>010.004-24.96145492</t>
  </si>
  <si>
    <t>PT ACSET INDONUSA TBK</t>
  </si>
  <si>
    <t>ADM /PO 10117/GR 5000224333</t>
  </si>
  <si>
    <t>SEWA 1 JUL 2023 SD 31 JUL 2023</t>
  </si>
  <si>
    <t>0115/PPA-II/24</t>
  </si>
  <si>
    <t>010.004-24.96145493</t>
  </si>
  <si>
    <t>ADM /PO 10117/GR 5000224334</t>
  </si>
  <si>
    <t>0116/PPA-II/24</t>
  </si>
  <si>
    <t>010.004-24.96145494</t>
  </si>
  <si>
    <t>ADM / PO 10118/GR 5000224335</t>
  </si>
  <si>
    <t>0117/PPA-II/24</t>
  </si>
  <si>
    <t>010.004-24.96145495</t>
  </si>
  <si>
    <t>ADM / PO 10119/GR 5000224336</t>
  </si>
  <si>
    <t>0118/PPA-II/24</t>
  </si>
  <si>
    <t>010.004-24.96145496</t>
  </si>
  <si>
    <t>ADM / PO 10120/GR 5000224337</t>
  </si>
  <si>
    <t>0119/PPA-II/24</t>
  </si>
  <si>
    <t>010.004-24.96145497</t>
  </si>
  <si>
    <t>0120/PPA-II/24</t>
  </si>
  <si>
    <t>011.004-24.96145498</t>
  </si>
  <si>
    <t>ROYAL TULIP</t>
  </si>
  <si>
    <t>0121/PPA-II/24</t>
  </si>
  <si>
    <t>010.004-24.96145499</t>
  </si>
  <si>
    <t>JAGAT KONSTRUKSI ABDIPERSADA</t>
  </si>
  <si>
    <t>AIR BERSIH SPAM</t>
  </si>
  <si>
    <t>SEWA 22 OKT 2023 SD 21 NOV 2024</t>
  </si>
  <si>
    <t>0122/PPA-II/24</t>
  </si>
  <si>
    <t>010.004-24.96145500</t>
  </si>
  <si>
    <t>DEPO JONGGOL</t>
  </si>
  <si>
    <t>0123/PPA-II/24</t>
  </si>
  <si>
    <t>010.004-24.96145501</t>
  </si>
  <si>
    <t>SEWA 25 DES 2023 SD 24 JAN 2024</t>
  </si>
  <si>
    <t>0124/PPA-II/24</t>
  </si>
  <si>
    <t>010.004-24.96145502</t>
  </si>
  <si>
    <t>ANTASARI</t>
  </si>
  <si>
    <t>SEWA 13 MEI 2023 SD 12 JUN 2023</t>
  </si>
  <si>
    <t>0125/PPA-II/24</t>
  </si>
  <si>
    <t>010.004-24.96145503</t>
  </si>
  <si>
    <t>SEWA 13 JUN 2023 SD 12 JUL 2023</t>
  </si>
  <si>
    <t>0126/PPA-II/24</t>
  </si>
  <si>
    <t>010.004-24.96145504</t>
  </si>
  <si>
    <t>SEWA 13 JUL 2023 SD 12 AGST 2023</t>
  </si>
  <si>
    <t>0127/PPA-II/24</t>
  </si>
  <si>
    <t>010.004-24.96145505</t>
  </si>
  <si>
    <t>SEWA 13 AGST 2023 SD 12 SEPT 2023</t>
  </si>
  <si>
    <t>0128/PPA-II/24</t>
  </si>
  <si>
    <t>010.004-24.96145506</t>
  </si>
  <si>
    <t>SEWA 13 SEPT 2023 SD 12 OKT 2023</t>
  </si>
  <si>
    <t>0129/PPA-II/24</t>
  </si>
  <si>
    <t>010.004-24.96145507</t>
  </si>
  <si>
    <t>SEWA 13 OKT 2023 SD 12 NOV 2023</t>
  </si>
  <si>
    <t>0130/PPA-II/24</t>
  </si>
  <si>
    <t>010.004-24.96145508</t>
  </si>
  <si>
    <t>SEWA 13 NOV 2023 SD 12 DES 2023</t>
  </si>
  <si>
    <t>0131/PPA-II/24</t>
  </si>
  <si>
    <t>010.004-24.96145509</t>
  </si>
  <si>
    <t>SEWA 13 DES 2023 SD 12 JAN 2024</t>
  </si>
  <si>
    <t>0132/PPA-II/24</t>
  </si>
  <si>
    <t>010.004-24.96145510</t>
  </si>
  <si>
    <t>KOMPLEK ALSUT</t>
  </si>
  <si>
    <t>0133/PPA-II/24</t>
  </si>
  <si>
    <t>010.004-24.96145511</t>
  </si>
  <si>
    <t>CAPITAL</t>
  </si>
  <si>
    <t>0134/PPA-II/24</t>
  </si>
  <si>
    <t>010.004-24.96145512</t>
  </si>
  <si>
    <t>0135/PPA-II/24</t>
  </si>
  <si>
    <t>010.004-24.96145513</t>
  </si>
  <si>
    <t>0136/PPA-II/24</t>
  </si>
  <si>
    <t>010.004-24.96145514</t>
  </si>
  <si>
    <t>0137/PPA-II/24</t>
  </si>
  <si>
    <t>010.004-24.96145515</t>
  </si>
  <si>
    <t>0138/PPA-II/24</t>
  </si>
  <si>
    <t>010.004-24.96145516</t>
  </si>
  <si>
    <t>SEWA 21 NOV 2023 SD 20 DES 2023</t>
  </si>
  <si>
    <t>0139/PPA-II/24</t>
  </si>
  <si>
    <t>010.004-24.96145517</t>
  </si>
  <si>
    <t>SEWA 27 NOV 2023 SD 26 DES 2023</t>
  </si>
  <si>
    <t>0140/PPA-II/24</t>
  </si>
  <si>
    <t>010.004-24.96145518</t>
  </si>
  <si>
    <t>SEWA 29 NOV 2023 SD 28 DES 2023</t>
  </si>
  <si>
    <t>0141/PPA-II/24</t>
  </si>
  <si>
    <t>010.004-24.96145519</t>
  </si>
  <si>
    <t>SEWA 7 JAN 2024 SD 6 FEB 2024</t>
  </si>
  <si>
    <t>0142/PPA-II/24</t>
  </si>
  <si>
    <t>010.004-24.96145520</t>
  </si>
  <si>
    <t>TAKENAKA INDONESIA</t>
  </si>
  <si>
    <t>HM SAMPOERNA</t>
  </si>
  <si>
    <t>0143/PPA-II/24</t>
  </si>
  <si>
    <t>010.004-24.96145521</t>
  </si>
  <si>
    <t>0144/PPA-II/24</t>
  </si>
  <si>
    <t>010.004-24.96145522</t>
  </si>
  <si>
    <t>0145/PPA-II/24</t>
  </si>
  <si>
    <t>010.004-24.96145523</t>
  </si>
  <si>
    <t>0146/PPA-II/24</t>
  </si>
  <si>
    <t>010.004-24.96145524</t>
  </si>
  <si>
    <t xml:space="preserve">CISSIE </t>
  </si>
  <si>
    <t>0147/PPA-II/24</t>
  </si>
  <si>
    <t>010.004-24.96145525</t>
  </si>
  <si>
    <t>0148/PPA-II/24</t>
  </si>
  <si>
    <t>010.004-24.96145526</t>
  </si>
  <si>
    <t>CLAIM ALAT 3</t>
  </si>
  <si>
    <t>0149/PPA-II/24</t>
  </si>
  <si>
    <t>010.004-24.96145527</t>
  </si>
  <si>
    <t>0150/PPA-II/24</t>
  </si>
  <si>
    <t>010.004-24.96145528</t>
  </si>
  <si>
    <t>PUTSAL</t>
  </si>
  <si>
    <t>SEWA 27 DES 2023 SD 31 DES 2023</t>
  </si>
  <si>
    <t>0151/PPA-II/24</t>
  </si>
  <si>
    <t>010.004-24.96145529</t>
  </si>
  <si>
    <t>0152/PPA-II/24</t>
  </si>
  <si>
    <t>010.004-24.96145530</t>
  </si>
  <si>
    <t>NAVA PARK</t>
  </si>
  <si>
    <t>0153/PPA-II/24</t>
  </si>
  <si>
    <t>010.004-24.96145531</t>
  </si>
  <si>
    <t>RECKIT</t>
  </si>
  <si>
    <t>0154/PPA-II/24</t>
  </si>
  <si>
    <t>010.004-24.96145532</t>
  </si>
  <si>
    <t>NUSA KONSTRUKSI ENJINIRING</t>
  </si>
  <si>
    <t>CANAL WALL STRENGTHENING</t>
  </si>
  <si>
    <t>PENJUALAN SLEEVE</t>
  </si>
  <si>
    <t>0155/PPA-II/24</t>
  </si>
  <si>
    <t>010.004-24.96145533</t>
  </si>
  <si>
    <t>ELLIPSE</t>
  </si>
  <si>
    <t>SEWA 19 SEPT 2023 SD 30 SEPT 2023</t>
  </si>
  <si>
    <t>0156/PPA-II/24</t>
  </si>
  <si>
    <t>010.004-24.96145534</t>
  </si>
  <si>
    <t>0157/PPA-II/24</t>
  </si>
  <si>
    <t>010.004-24.96145535</t>
  </si>
  <si>
    <t>0158/PPA-II/24</t>
  </si>
  <si>
    <t>010.004-24.96145536</t>
  </si>
  <si>
    <t>0159/PPA-II/24</t>
  </si>
  <si>
    <t>010.004-24.96145537</t>
  </si>
  <si>
    <t>SEKOLAH CALVIN</t>
  </si>
  <si>
    <t>0160/PPA-II/24</t>
  </si>
  <si>
    <t>010.004-24.96145538</t>
  </si>
  <si>
    <t>0161/PPA-II/24</t>
  </si>
  <si>
    <t>010.004-24.96145539</t>
  </si>
  <si>
    <t>0162/PPA-II/24</t>
  </si>
  <si>
    <t>010.004-24.96145540</t>
  </si>
  <si>
    <t>0163/PPA-II/24</t>
  </si>
  <si>
    <t>010.004-24.96145541</t>
  </si>
  <si>
    <t>0164/PPA-II/24</t>
  </si>
  <si>
    <t>010.004-24.96145542</t>
  </si>
  <si>
    <t>URBAN FOREST</t>
  </si>
  <si>
    <t>0165/PPA-II/24</t>
  </si>
  <si>
    <t>010.004-24.96145543</t>
  </si>
  <si>
    <t>0166/PPA-II/24</t>
  </si>
  <si>
    <t>010.004-24.96145544</t>
  </si>
  <si>
    <t>0167/PPA-II/24</t>
  </si>
  <si>
    <t>010.004-24.96145545</t>
  </si>
  <si>
    <t>0168/PPA-II/24</t>
  </si>
  <si>
    <t>010.004-24.96145546</t>
  </si>
  <si>
    <t>0169/PPA-II/24</t>
  </si>
  <si>
    <t>010.004-24.96145547</t>
  </si>
  <si>
    <t>PURI(1)</t>
  </si>
  <si>
    <t>0170/PPA-II/24</t>
  </si>
  <si>
    <t>010.004-24.96145548</t>
  </si>
  <si>
    <t>LIVING GRAND WISATA</t>
  </si>
  <si>
    <t>0171/PPA-II/24</t>
  </si>
  <si>
    <t>010.004-24.96145549</t>
  </si>
  <si>
    <t>0172/PPA-II/24</t>
  </si>
  <si>
    <t>010.004-24.96145550</t>
  </si>
  <si>
    <t>BIOGAS BLITAR(2)</t>
  </si>
  <si>
    <t>SEWA 9 NOV 2023 SD 8 DES 2023</t>
  </si>
  <si>
    <t>0173/PPA-II/24</t>
  </si>
  <si>
    <t>010.004-24.96145551</t>
  </si>
  <si>
    <t>BIOGAS BLITAR(3)</t>
  </si>
  <si>
    <t>0174/PPA-II/24</t>
  </si>
  <si>
    <t>010.004-24.96145552</t>
  </si>
  <si>
    <t>SEWA 26 NOV 2023 SD 15 DES 2023</t>
  </si>
  <si>
    <t>0175/PPA-II/24</t>
  </si>
  <si>
    <t>010.004-24.96145553</t>
  </si>
  <si>
    <t>SEWA 1 FEB 2024 SD 29 FEB 2024</t>
  </si>
  <si>
    <t>0176/PPA-II/24</t>
  </si>
  <si>
    <t>010.004-24.96145554</t>
  </si>
  <si>
    <t>ESR + OAJ</t>
  </si>
  <si>
    <t>0177/PPA-II/24</t>
  </si>
  <si>
    <t>010.004-24.96145555</t>
  </si>
  <si>
    <t>0178/PPA-II/24</t>
  </si>
  <si>
    <t>010.004-24.96145556</t>
  </si>
  <si>
    <t>PANASONIC GOBEL</t>
  </si>
  <si>
    <t>0179/PPA-III/24</t>
  </si>
  <si>
    <t>010.004-24.96145557</t>
  </si>
  <si>
    <t>0180/PPA-III/24</t>
  </si>
  <si>
    <t>010.004-24.96145558</t>
  </si>
  <si>
    <t>0181/PPA-III/24</t>
  </si>
  <si>
    <t>010.004-24.96145559</t>
  </si>
  <si>
    <t>0182/PPA-III/24</t>
  </si>
  <si>
    <t>010.004-24.96145560</t>
  </si>
  <si>
    <t>MAGGIORE DIP</t>
  </si>
  <si>
    <t>SEWA 10 NOV 2023 SD 30 NOV 2023</t>
  </si>
  <si>
    <t>0183/PPA-III/24</t>
  </si>
  <si>
    <t>010.004-24.96145561</t>
  </si>
  <si>
    <t>0184/PPA-III/24</t>
  </si>
  <si>
    <t>010.004-24.96145562</t>
  </si>
  <si>
    <t>0185/PPA-III/24</t>
  </si>
  <si>
    <t>010.004-24.96145563</t>
  </si>
  <si>
    <t>0186/PPA-III/24</t>
  </si>
  <si>
    <t>010.004-24.96145564</t>
  </si>
  <si>
    <t>MAGGIORE JUNCTION</t>
  </si>
  <si>
    <t>0187/PPA-III/24</t>
  </si>
  <si>
    <t>010.004-24.96145565</t>
  </si>
  <si>
    <t>0188/PPA-III/24</t>
  </si>
  <si>
    <t>010.004-24.96145566</t>
  </si>
  <si>
    <t>0189/PPA-III/24</t>
  </si>
  <si>
    <t>010.004-24.96145567</t>
  </si>
  <si>
    <t>0190/PPA-III/24</t>
  </si>
  <si>
    <t>010.004-24.96145568</t>
  </si>
  <si>
    <t>0191/PPA-III/24</t>
  </si>
  <si>
    <t>010.004-24.96145569</t>
  </si>
  <si>
    <t>CLAIM ALAT 4</t>
  </si>
  <si>
    <t>0192/PPA-III/24</t>
  </si>
  <si>
    <t>011.004-24.96145570</t>
  </si>
  <si>
    <t>NOVOTEL</t>
  </si>
  <si>
    <t>SEWA 1 OKT 2023 SD 31 DES 2023</t>
  </si>
  <si>
    <t>0193/PPA-III/24</t>
  </si>
  <si>
    <t>011.004-24.96145571</t>
  </si>
  <si>
    <t>MARRIOT CIDENG</t>
  </si>
  <si>
    <t>SEWA 8 JAN 2024 SD 31 JAN 2024</t>
  </si>
  <si>
    <t>0194/PPA-III/24</t>
  </si>
  <si>
    <t>011.004-24.96145572</t>
  </si>
  <si>
    <t>0195/PPA-III/24</t>
  </si>
  <si>
    <t>010.004-24.96145573</t>
  </si>
  <si>
    <t>NHJS</t>
  </si>
  <si>
    <t>SEWA 5 OKT 2023 SD 31 OKT 2023</t>
  </si>
  <si>
    <t>0196/PPA-III/24</t>
  </si>
  <si>
    <t>010.004-24.96145574</t>
  </si>
  <si>
    <t>JAGAT KONSTRUKSI ABDI PERSADA</t>
  </si>
  <si>
    <t>MOYA</t>
  </si>
  <si>
    <t>DEMOBILISASI</t>
  </si>
  <si>
    <t>0197/PPA-III/24</t>
  </si>
  <si>
    <t>010.004-24.96145575</t>
  </si>
  <si>
    <t>SEWA 16 DES 2023 SD 15 JAN 2024</t>
  </si>
  <si>
    <t>0198/PPA-III/24</t>
  </si>
  <si>
    <t>010.004-24.96145576</t>
  </si>
  <si>
    <t>SEWA 16 JAN 2024 SD 15 FEB 2024</t>
  </si>
  <si>
    <t>0199/PPA-III/24</t>
  </si>
  <si>
    <t>010.004-24.96145577</t>
  </si>
  <si>
    <t>BCA DATA CENTER</t>
  </si>
  <si>
    <t xml:space="preserve">CLAIM ALAT  </t>
  </si>
  <si>
    <t>0200/PPA-III/24</t>
  </si>
  <si>
    <t>010.004-24.96145578</t>
  </si>
  <si>
    <t>SEWA 27 DES 2023 SD 26 JAN 2024</t>
  </si>
  <si>
    <t>0201/PPA-III/24</t>
  </si>
  <si>
    <t>010.006-24.31997998</t>
  </si>
  <si>
    <t>SEWA 27 JAN 2024 SD 26 FEB 2024</t>
  </si>
  <si>
    <t>0202/PPA-III/24</t>
  </si>
  <si>
    <t>010.006-24.31997999</t>
  </si>
  <si>
    <t>SEWA 29 DES 2023 SD 28 JAN 2024</t>
  </si>
  <si>
    <t>0203/PPA-III/24</t>
  </si>
  <si>
    <t>010.006-24.31998000</t>
  </si>
  <si>
    <t>SEWA 21 DES 2023 SD 20 JAN 2024</t>
  </si>
  <si>
    <t>0204/PPA-III/24</t>
  </si>
  <si>
    <t>010.006-24.31998001</t>
  </si>
  <si>
    <t>SEWA 21 JAN 2024 SD 20 FEB 2024</t>
  </si>
  <si>
    <t>0205/PPA-III/24</t>
  </si>
  <si>
    <t>010.006-24.31998002</t>
  </si>
  <si>
    <t>SEWA 13 JAN 2024 SD 12 FEB 2024</t>
  </si>
  <si>
    <t>0206/PPA-III/24</t>
  </si>
  <si>
    <t>010.006-24.31998003</t>
  </si>
  <si>
    <t>SPAM AIR BERSIH</t>
  </si>
  <si>
    <t>SEWA 22 NOV 2023 SD 21 DES 2023</t>
  </si>
  <si>
    <t>0207/PPA-III/24</t>
  </si>
  <si>
    <t>010.006-24.31998004</t>
  </si>
  <si>
    <t>SEWA 22 DES 2023 SD 21 JAN 2024</t>
  </si>
  <si>
    <t>0208/PPA-III/24</t>
  </si>
  <si>
    <t>011.006-24.31998005</t>
  </si>
  <si>
    <t>SEWA 1 MARET 2024 SD 31 MARET 2024</t>
  </si>
  <si>
    <t>0209/PPA-III/24</t>
  </si>
  <si>
    <t>010.006-24.31998006</t>
  </si>
  <si>
    <t>0210/PPA-III/24</t>
  </si>
  <si>
    <t>010.006-24.31998007</t>
  </si>
  <si>
    <t>0211/PPA-III/24</t>
  </si>
  <si>
    <t>010.006-24.31998008</t>
  </si>
  <si>
    <t>0212/PPA-III/24</t>
  </si>
  <si>
    <t>010.006-24.31998009</t>
  </si>
  <si>
    <t>PURI INDAH 2 (PROYEK)</t>
  </si>
  <si>
    <t>0213/PPA-III/24</t>
  </si>
  <si>
    <t>010.006-24.31998010</t>
  </si>
  <si>
    <t>0214/PPA-III/24</t>
  </si>
  <si>
    <t>010.006-24.31998011</t>
  </si>
  <si>
    <t>0215/PPA-III/24</t>
  </si>
  <si>
    <t>010.006-24.31998012</t>
  </si>
  <si>
    <t>0216/PPA-III/24</t>
  </si>
  <si>
    <t>010.006-24.31998013</t>
  </si>
  <si>
    <t>MOBILISASI &amp; DEMOBILISASI</t>
  </si>
  <si>
    <t>0217/PPA-III/24</t>
  </si>
  <si>
    <t>010.006-24.31998014</t>
  </si>
  <si>
    <t>0218/PPA-III/24</t>
  </si>
  <si>
    <t>010.006-24.31998015</t>
  </si>
  <si>
    <t>0219/PPA-III/24</t>
  </si>
  <si>
    <t>010.006-24.31998016</t>
  </si>
  <si>
    <t>0220/PPA-III/24</t>
  </si>
  <si>
    <t>010.006-24.31998017</t>
  </si>
  <si>
    <t>0221/PPA-III/24</t>
  </si>
  <si>
    <t>010.006-24.31998018</t>
  </si>
  <si>
    <t>0222/PPA-III/24</t>
  </si>
  <si>
    <t>010.006-24.31998019</t>
  </si>
  <si>
    <t>0224/PPA-III/24</t>
  </si>
  <si>
    <t>010.006-24.31998021</t>
  </si>
  <si>
    <t>ASYA SENTARIUM 7553/GR 9330</t>
  </si>
  <si>
    <t>0225/PPA-III/24</t>
  </si>
  <si>
    <t>010.006-24.31998022</t>
  </si>
  <si>
    <t>ASYA SENTARIUM 7553/GR 9337</t>
  </si>
  <si>
    <t>0227/PPA-III/24</t>
  </si>
  <si>
    <t>010.006-24.31998024</t>
  </si>
  <si>
    <t>ASYA SENTARIUM 7694/GR 9333</t>
  </si>
  <si>
    <t>0228/PPA-III/24</t>
  </si>
  <si>
    <t>010.006-24.31998025</t>
  </si>
  <si>
    <t>ASYA SENTARIUM 7694/GR 9339</t>
  </si>
  <si>
    <t>0230/PPA-III/24</t>
  </si>
  <si>
    <t>010.006-24.31998027</t>
  </si>
  <si>
    <t>ASYA SENTARIUM 8055/GR 9331</t>
  </si>
  <si>
    <t>0231/PPA-III/24</t>
  </si>
  <si>
    <t>010.006-24.31998028</t>
  </si>
  <si>
    <t>ASYA SENTARIUM 8055/GR 9338</t>
  </si>
  <si>
    <t>0232/PPA-III/24</t>
  </si>
  <si>
    <t>010.006-24.31998029</t>
  </si>
  <si>
    <t>ASYA SENTARIUM 8055/GR 9348</t>
  </si>
  <si>
    <t>0233/PPA-III/24</t>
  </si>
  <si>
    <t>010.006-24.31998030</t>
  </si>
  <si>
    <t>ASYA SENTARIUM 8108/GR 9334</t>
  </si>
  <si>
    <t>0226/PPA-III/24</t>
  </si>
  <si>
    <t>010.006-24.31998023</t>
  </si>
  <si>
    <t>ASYA SENTARIUM 7553/GR 9346</t>
  </si>
  <si>
    <t>1/7/20024</t>
  </si>
  <si>
    <t>0229/PPA-III/24</t>
  </si>
  <si>
    <t>010.006-24.31998026</t>
  </si>
  <si>
    <t>ASYA SENTARIUM 7694/GR 9350</t>
  </si>
  <si>
    <t>0234/PPA-III/24</t>
  </si>
  <si>
    <t>010.006-24.31998031</t>
  </si>
  <si>
    <t>ASYA SENTARIUM 8108/GR 9340</t>
  </si>
  <si>
    <t>0235/PPA-III/24</t>
  </si>
  <si>
    <t>010.006-24.31998032</t>
  </si>
  <si>
    <t>ASYA SENTARIUM 8192/GR 9335</t>
  </si>
  <si>
    <t>0236/PPA-III/24</t>
  </si>
  <si>
    <t>010.006-24.31998033</t>
  </si>
  <si>
    <t>ASYA SENTARIUM 8192/GR 9341</t>
  </si>
  <si>
    <t>0237/PPA-III/24</t>
  </si>
  <si>
    <t>010.006-24.31998034</t>
  </si>
  <si>
    <t>ASYA SENTARIUM 8192/GR 9355</t>
  </si>
  <si>
    <t>0238/PPA-III/24</t>
  </si>
  <si>
    <t>010.006-24.31998035</t>
  </si>
  <si>
    <t>0239/PPA-III/24</t>
  </si>
  <si>
    <t>010.006-24.31998036</t>
  </si>
  <si>
    <t>0240/PPA-III/24</t>
  </si>
  <si>
    <t>010.006-24.31998037</t>
  </si>
  <si>
    <t>BIOGAS BLITAR (1)</t>
  </si>
  <si>
    <t>SEWA 26 NOV 2023 SD 25 DES 2023</t>
  </si>
  <si>
    <t>0241/PPA-III/24</t>
  </si>
  <si>
    <t>010.006-24.31998038</t>
  </si>
  <si>
    <t>0242/PPA-III/24</t>
  </si>
  <si>
    <t>010.006-24.31998039</t>
  </si>
  <si>
    <t>0243/PPA-III/24</t>
  </si>
  <si>
    <t>010.006-24.31998040</t>
  </si>
  <si>
    <t>SAKURA</t>
  </si>
  <si>
    <t>0244/PPA-III/24</t>
  </si>
  <si>
    <t>010.006-24.31998041</t>
  </si>
  <si>
    <t>BIOGAS BLITAR (2)</t>
  </si>
  <si>
    <t>SEWA 9 DES 2023 SD 8 JAN 2024</t>
  </si>
  <si>
    <t>0245/PPA-III/24</t>
  </si>
  <si>
    <t>010.006-24.31998042</t>
  </si>
  <si>
    <t>SEWA 9 JAN 2024 SD 8 FEB 2024</t>
  </si>
  <si>
    <t>0246/PPA-III/24</t>
  </si>
  <si>
    <t>010.006-24.31998043</t>
  </si>
  <si>
    <t>0248/PPA-III/24</t>
  </si>
  <si>
    <t>010.006-24.31998045</t>
  </si>
  <si>
    <t>JPO</t>
  </si>
  <si>
    <t>SEWA 10 JAN 2024 SD 31 JAN 2024</t>
  </si>
  <si>
    <t>0249/PPA-III/24</t>
  </si>
  <si>
    <t>010.006-24.31998046</t>
  </si>
  <si>
    <t>0250/PPA-III/24</t>
  </si>
  <si>
    <t>010.006-24.31998047</t>
  </si>
  <si>
    <t>SIERRA 9189/GR 5000229726</t>
  </si>
  <si>
    <t>0251/PPA-III/24</t>
  </si>
  <si>
    <t>010.006-24.31998048</t>
  </si>
  <si>
    <t>SIERRA 9189/GR 5000230724</t>
  </si>
  <si>
    <t>0252/PPA-III/24</t>
  </si>
  <si>
    <t>010.006-24.31998049</t>
  </si>
  <si>
    <t>SIERRA 9189/GR 5000230729</t>
  </si>
  <si>
    <t>0253/PPA-III/24</t>
  </si>
  <si>
    <t>010.006-24.31998050</t>
  </si>
  <si>
    <t>SIERRA 9189/GR 5000230730</t>
  </si>
  <si>
    <t>0254/PPA-III/24</t>
  </si>
  <si>
    <t>010.006-24.31998051</t>
  </si>
  <si>
    <t>SIERRA 9568/GR 5000229723</t>
  </si>
  <si>
    <t>0255/PPA-III/24</t>
  </si>
  <si>
    <t>010.006-24.31998052</t>
  </si>
  <si>
    <t>SIERRA 9568/GR 5000230731</t>
  </si>
  <si>
    <t>0256/PPA-III/24</t>
  </si>
  <si>
    <t>010.006-24.31998053</t>
  </si>
  <si>
    <t>SIERRA 9568/GR 5000230732</t>
  </si>
  <si>
    <t>0257/PPA-III/24</t>
  </si>
  <si>
    <t>010.006-24.31998054</t>
  </si>
  <si>
    <t>SIERRA 9568/GR 5000230733</t>
  </si>
  <si>
    <t>0258/PPA-III/24</t>
  </si>
  <si>
    <t>010.006-24.31998055</t>
  </si>
  <si>
    <t>SIERRA 10086/GR 5000230738</t>
  </si>
  <si>
    <t>SEWA 14 JAN 2024 SD 31 JAN 2024</t>
  </si>
  <si>
    <t>0259/PPA-III/24</t>
  </si>
  <si>
    <t>010.006-24.31998056</t>
  </si>
  <si>
    <t>SIERRA 10086/GR 5000230739</t>
  </si>
  <si>
    <t>0260/PPA-III/24</t>
  </si>
  <si>
    <t>010.006-24.31998057</t>
  </si>
  <si>
    <t>SIERRA 10331/GR 5000230740</t>
  </si>
  <si>
    <t>SEWA 17 FEB 2024 SD 29 FEB 2024</t>
  </si>
  <si>
    <t>0261/PPA-III/24</t>
  </si>
  <si>
    <t>010.006-24.31998058</t>
  </si>
  <si>
    <t>SIERRA 10461/GR 5000230736</t>
  </si>
  <si>
    <t>SEWA 23 DES 2023 SD 31 DES 2023</t>
  </si>
  <si>
    <t>0262/PPA-III/24</t>
  </si>
  <si>
    <t>010.006-24.31998059</t>
  </si>
  <si>
    <t>SIERRA 10461,9960/GR 5000230737</t>
  </si>
  <si>
    <t>0263/PPA-III/24</t>
  </si>
  <si>
    <t>010.006-24.31998060</t>
  </si>
  <si>
    <t>SIERRA 10056/GR 5000230734</t>
  </si>
  <si>
    <t>SEWA 2 JAN 2024 SD 31 JAN 2024</t>
  </si>
  <si>
    <t>0264/PPA-III/24</t>
  </si>
  <si>
    <t>010.006-24.31998061</t>
  </si>
  <si>
    <t>SIERRA 10056/GR 5000230735</t>
  </si>
  <si>
    <t>0265/PPA-III/24</t>
  </si>
  <si>
    <t>010.006-24.31998062</t>
  </si>
  <si>
    <t>SIERRA 9609/GR 5000229724</t>
  </si>
  <si>
    <t>0266/PPA-III/24</t>
  </si>
  <si>
    <t>010.006-24.31998063</t>
  </si>
  <si>
    <t>0267/PPA-III/24</t>
  </si>
  <si>
    <t>010.006-24.31998064</t>
  </si>
  <si>
    <t>SEWA 7 NOV 2023 SD 6 DES 2023</t>
  </si>
  <si>
    <t>0268/PPA-III/24</t>
  </si>
  <si>
    <t>010.006-24.31998065</t>
  </si>
  <si>
    <t>0269/PPA-III/24</t>
  </si>
  <si>
    <t>010.006-24.31998066</t>
  </si>
  <si>
    <t>0270/PPA-III/24</t>
  </si>
  <si>
    <t>010.006-24.31998067</t>
  </si>
  <si>
    <t>0271/PPA-III/24</t>
  </si>
  <si>
    <t>010.006-24.31998068</t>
  </si>
  <si>
    <t>SUMBANGSEL (PROYEK)</t>
  </si>
  <si>
    <t>0272/PPA-III/24</t>
  </si>
  <si>
    <t>010.006-24.31998069</t>
  </si>
  <si>
    <t>SEWA 7 FEB 2024 SD 6 MAR 2024</t>
  </si>
  <si>
    <t>0273/PPA-III/24</t>
  </si>
  <si>
    <t>010.006-24.31998070</t>
  </si>
  <si>
    <t>0274/PPA-III/24</t>
  </si>
  <si>
    <t>010.006-24.31998071</t>
  </si>
  <si>
    <t>0275/PPA-III/24</t>
  </si>
  <si>
    <t>010.006-24.31998072</t>
  </si>
  <si>
    <t>SEWA 25 JAN 2024 SD 24 FEB 2024</t>
  </si>
  <si>
    <t>0276/PPA-III/24</t>
  </si>
  <si>
    <t>010.006-24.31998073</t>
  </si>
  <si>
    <t>0277/PPA-III/24</t>
  </si>
  <si>
    <t>010.006-24.31998074</t>
  </si>
  <si>
    <t xml:space="preserve">NARUMI </t>
  </si>
  <si>
    <t>0278/PPA-IV/24</t>
  </si>
  <si>
    <t>010.006-24.31998075</t>
  </si>
  <si>
    <t>0279/PPA-IV/24</t>
  </si>
  <si>
    <t>010.006-24.31998076</t>
  </si>
  <si>
    <t>0280/PPA-IV/24</t>
  </si>
  <si>
    <t>010.006-24.31998077</t>
  </si>
  <si>
    <t>0281/PPA-IV/24</t>
  </si>
  <si>
    <t>010.006-24.31998078</t>
  </si>
  <si>
    <t>KOMPLEK KELUARGA - ALSUT</t>
  </si>
  <si>
    <t>0047/PPA-I/24</t>
  </si>
  <si>
    <t>010.004-24.96145425</t>
  </si>
  <si>
    <t>0282/PPA-IV/24</t>
  </si>
  <si>
    <t>010.006-24.31998079</t>
  </si>
  <si>
    <t>0363/PPA-V/24</t>
  </si>
  <si>
    <t>010.006-24.31998160</t>
  </si>
  <si>
    <t>PURI 1</t>
  </si>
  <si>
    <t>0283/PPA-IV/24</t>
  </si>
  <si>
    <t>011.006-24.31998080</t>
  </si>
  <si>
    <t>0284/PPA-IV/24</t>
  </si>
  <si>
    <t>010.006-24.31998081</t>
  </si>
  <si>
    <t>0285/PPA-IV/24</t>
  </si>
  <si>
    <t>010.006-24.31998082</t>
  </si>
  <si>
    <t>0286/PPA-IV/24</t>
  </si>
  <si>
    <t>010.006-24.31998083</t>
  </si>
  <si>
    <t xml:space="preserve">ACSET INDONUSA </t>
  </si>
  <si>
    <t>AMMAN LANDSLIDE TONGO</t>
  </si>
  <si>
    <t>0287/PPA-IV/24</t>
  </si>
  <si>
    <t>010.006-24.31998084</t>
  </si>
  <si>
    <t>0288/PPA-IV/24</t>
  </si>
  <si>
    <t>010.006-24.31998085</t>
  </si>
  <si>
    <t>0289/PPA-IV/24</t>
  </si>
  <si>
    <t>010.006-24.31998086</t>
  </si>
  <si>
    <t>0290/PPA-IV/24</t>
  </si>
  <si>
    <t>010.006-24.31998087</t>
  </si>
  <si>
    <t>SEWA 1 APR 2024 SD 5 APR 2024</t>
  </si>
  <si>
    <t>0291/PPA-IV/24</t>
  </si>
  <si>
    <t>010.006-24.31998088</t>
  </si>
  <si>
    <t>0292/PPA-IV/24</t>
  </si>
  <si>
    <t>010.006-24.31998089</t>
  </si>
  <si>
    <t>SEWA 9 MARET 2024 SD 31 MARET 2024</t>
  </si>
  <si>
    <t>0293/PPA-IV/24</t>
  </si>
  <si>
    <t>010.006-24.31998090</t>
  </si>
  <si>
    <t>0294/PPA-IV/24</t>
  </si>
  <si>
    <t>010.006-24.31998091</t>
  </si>
  <si>
    <t>0295/PPA-IV/24</t>
  </si>
  <si>
    <t>010.006-24.31998092</t>
  </si>
  <si>
    <t>SEWA 26 DES 2023 SD 25 JAN 2024</t>
  </si>
  <si>
    <t>0296/PPA-IV/24</t>
  </si>
  <si>
    <t>010.006-24.31998093</t>
  </si>
  <si>
    <t>SEWA 26 JAN 2024 SD 25 FEB 2024</t>
  </si>
  <si>
    <t>0297/PPA-IV/24</t>
  </si>
  <si>
    <t>010.006-24.31998094</t>
  </si>
  <si>
    <t>SEWA 26 FEB 2024 SD 25 MARET 2024</t>
  </si>
  <si>
    <t>0298/PPA-IV/24</t>
  </si>
  <si>
    <t>010.006-24.31998095</t>
  </si>
  <si>
    <t>0299/PPA-IV/24</t>
  </si>
  <si>
    <t>010.006-24.31998096</t>
  </si>
  <si>
    <t>ARTHA SENTRA NUSANTARA</t>
  </si>
  <si>
    <t>GRAND WISATA</t>
  </si>
  <si>
    <t>0300/PPA-IV/24</t>
  </si>
  <si>
    <t>010.006-24.31998097</t>
  </si>
  <si>
    <t>SEWA 24 APR 2024 SD 23 MEI 2024</t>
  </si>
  <si>
    <t>0301/PPA-IV/24</t>
  </si>
  <si>
    <t>010.006-24.31998098</t>
  </si>
  <si>
    <t>0302/PPA-IV/24</t>
  </si>
  <si>
    <t>010.006-24.31998099</t>
  </si>
  <si>
    <t>ARUMAYA OFFICE</t>
  </si>
  <si>
    <t>PENJUALAN/4200029979</t>
  </si>
  <si>
    <t>0303/PPA-IV/24</t>
  </si>
  <si>
    <t>010.006-24.31998100</t>
  </si>
  <si>
    <t>0304/PPA-IV/24</t>
  </si>
  <si>
    <t>010.006-24.31998101</t>
  </si>
  <si>
    <t>0305/PPA-IV/24</t>
  </si>
  <si>
    <t>010.006-24.31998102</t>
  </si>
  <si>
    <t>CLEON PARK</t>
  </si>
  <si>
    <t>0306/PPA-IV/24</t>
  </si>
  <si>
    <t>010.006-24.31998103</t>
  </si>
  <si>
    <t>WORKSHOP</t>
  </si>
  <si>
    <t>UANG MUKA,TAGIHAN KE-1</t>
  </si>
  <si>
    <t>0307/PPA-IV/24</t>
  </si>
  <si>
    <t>010.006-24.31998104</t>
  </si>
  <si>
    <t>PURI INDAH (PROYEK)</t>
  </si>
  <si>
    <t>0308/PPA-IV/24</t>
  </si>
  <si>
    <t>010.006-24.31998105</t>
  </si>
  <si>
    <t>SEWA 9 JAN 2024 SD 31 JAN 2024</t>
  </si>
  <si>
    <t>0309/PPA-IV/24</t>
  </si>
  <si>
    <t>010.006-24.31998106</t>
  </si>
  <si>
    <t>0310/PPA-IV/24</t>
  </si>
  <si>
    <t>010.006-24.31998107</t>
  </si>
  <si>
    <t>GRAND WISATA-182</t>
  </si>
  <si>
    <t>0311/PPA-IV/24</t>
  </si>
  <si>
    <t>010.006-24.31998108</t>
  </si>
  <si>
    <t>SEWA 29 APR 2024 SD 28 MEI 2024</t>
  </si>
  <si>
    <t>0312/PPA-IV/24</t>
  </si>
  <si>
    <t>010.006-24.31998109</t>
  </si>
  <si>
    <t>SEWA 1 JAN 2024 SD 29 FEB 2024</t>
  </si>
  <si>
    <t>0313/PPA-IV/24</t>
  </si>
  <si>
    <t>010.006-24.31998110</t>
  </si>
  <si>
    <t>0314/PPA-IV/24</t>
  </si>
  <si>
    <t>010.006-24.31998111</t>
  </si>
  <si>
    <t>0315/PPA-IV/24</t>
  </si>
  <si>
    <t>010.006-24.31998112</t>
  </si>
  <si>
    <t>SEWA 1 APR 2024 SD 30 APR 2024</t>
  </si>
  <si>
    <t>0316/PPA-IV/24</t>
  </si>
  <si>
    <t>010.006-24.31998113</t>
  </si>
  <si>
    <t>0317/PPA-V/24</t>
  </si>
  <si>
    <t>010.006-24.31998114</t>
  </si>
  <si>
    <t>BDX</t>
  </si>
  <si>
    <t>0318/PPA-V/24</t>
  </si>
  <si>
    <t>010.006-24.31998115</t>
  </si>
  <si>
    <t>0319/PPA-V/24</t>
  </si>
  <si>
    <t>010.006-24.31998116</t>
  </si>
  <si>
    <t>0320/PPA-V/24</t>
  </si>
  <si>
    <t>010.006-24.31998117</t>
  </si>
  <si>
    <t>0321/PPA-V/24</t>
  </si>
  <si>
    <t>010.006-24.31998118</t>
  </si>
  <si>
    <t>0322/PPA-V/24</t>
  </si>
  <si>
    <t>010.006-24.31998119</t>
  </si>
  <si>
    <t>SUMBANGSEL(PUSAT)</t>
  </si>
  <si>
    <t>0323/PPA-V/24</t>
  </si>
  <si>
    <t>010.006-24.31998120</t>
  </si>
  <si>
    <t>SUMARECON BEKASI</t>
  </si>
  <si>
    <t>SEWA 19 MARET 2024 SD 31 MARET 2024</t>
  </si>
  <si>
    <t>0324/PPA-V/24</t>
  </si>
  <si>
    <t>010.006-24.31998121</t>
  </si>
  <si>
    <t>CIKANDE</t>
  </si>
  <si>
    <t>0325/PPA-V/24</t>
  </si>
  <si>
    <t>010.006-24.31998122</t>
  </si>
  <si>
    <t>0326/PPA-V/24</t>
  </si>
  <si>
    <t>010.006-24.31998123</t>
  </si>
  <si>
    <t>WARE HOUSE</t>
  </si>
  <si>
    <t>0327/PPA-V/24</t>
  </si>
  <si>
    <t>010.006-24.31998124</t>
  </si>
  <si>
    <t>SEWA 27 MARET 2024 SD 31 MARET 2024</t>
  </si>
  <si>
    <t>0328/PPA-V/24</t>
  </si>
  <si>
    <t>010.006-24.31998125</t>
  </si>
  <si>
    <t>SUMBANGSEL(PROYEK)</t>
  </si>
  <si>
    <t>0329/PPA-V/24</t>
  </si>
  <si>
    <t>010.006-24.31998126</t>
  </si>
  <si>
    <t>0330/PPA-V/24</t>
  </si>
  <si>
    <t>010.006-24.31998127</t>
  </si>
  <si>
    <t>SEWA  25 FEB 2024 SD 24 MARET 2024</t>
  </si>
  <si>
    <t>0331/PPA-V/24</t>
  </si>
  <si>
    <t>010.006-24.31998128</t>
  </si>
  <si>
    <t>GRAND WISATA-198</t>
  </si>
  <si>
    <t>0332/PPA-V/24</t>
  </si>
  <si>
    <t>010.006-24.31998129</t>
  </si>
  <si>
    <t>SEWA 8 MEI 2024 SD 7 JUNI 2024</t>
  </si>
  <si>
    <t>0333/PPA-V/24</t>
  </si>
  <si>
    <t>011.006-24.31998130</t>
  </si>
  <si>
    <t>0334/PPA-V/24</t>
  </si>
  <si>
    <t>010.006-24.31998131</t>
  </si>
  <si>
    <t>0335/PPA-V/24</t>
  </si>
  <si>
    <t>010.006-24.31998132</t>
  </si>
  <si>
    <t>JO CSCODS - TAISEI</t>
  </si>
  <si>
    <t>OASIS CENTRAL SUDIRMAN</t>
  </si>
  <si>
    <t>PENJUALAN ASHIBA 4M</t>
  </si>
  <si>
    <t>0223/PPA-III/24</t>
  </si>
  <si>
    <t>010.006-24.31998020</t>
  </si>
  <si>
    <t>SEWA 1 SEPT 2023 SD 29 FEB 2024</t>
  </si>
  <si>
    <t>0247/PPA-III/24</t>
  </si>
  <si>
    <t>010.006-24.31998044</t>
  </si>
  <si>
    <t>CLEON</t>
  </si>
  <si>
    <t>SEWA 1 SEPT 2023 SD 31 DES 2023</t>
  </si>
  <si>
    <t>0336/PPA-V/24</t>
  </si>
  <si>
    <t>010.006-24.31998133</t>
  </si>
  <si>
    <t>ADM PO 10786/GR 5000234058</t>
  </si>
  <si>
    <t>SEWA 1 NOV 2023 SD 31 MARET 2024</t>
  </si>
  <si>
    <t>0337/PPA-V/24</t>
  </si>
  <si>
    <t>010.006-24.31998134</t>
  </si>
  <si>
    <t>PENJUALAN ASHIBA 2M</t>
  </si>
  <si>
    <t>0338/PPA-V/24</t>
  </si>
  <si>
    <t>010.006-24.31998135</t>
  </si>
  <si>
    <t>0339/PPA-V/24</t>
  </si>
  <si>
    <t>010.006-24.31998136</t>
  </si>
  <si>
    <t>0340/PPA-V/24</t>
  </si>
  <si>
    <t>011.006-24.31998137</t>
  </si>
  <si>
    <t>SEWA 13 FEB 2024 SD 12 MAR 2024</t>
  </si>
  <si>
    <t>0341/PPA-V/24</t>
  </si>
  <si>
    <t>010.006-24.31998138</t>
  </si>
  <si>
    <t>0342/PPA-V/24</t>
  </si>
  <si>
    <t>010.006-24.31998139</t>
  </si>
  <si>
    <t>GRAND WISATA-4</t>
  </si>
  <si>
    <t>0343/PPA-V/24</t>
  </si>
  <si>
    <t>010.006-24.31998140</t>
  </si>
  <si>
    <t>SEWA 11 MEI 2024 SD 10 JUNI 2024</t>
  </si>
  <si>
    <t>0344/PPA-V/24</t>
  </si>
  <si>
    <t>010.006-24.31998141</t>
  </si>
  <si>
    <t>0345/PPA-V/24</t>
  </si>
  <si>
    <t>010.006-24.31998142</t>
  </si>
  <si>
    <t>0346/PPA-V/24</t>
  </si>
  <si>
    <t>010.006-24.31998143</t>
  </si>
  <si>
    <t>CLAIM ALAT  (BA 03)</t>
  </si>
  <si>
    <t>0347/PPA-V/24</t>
  </si>
  <si>
    <t>010.006-24.31998144</t>
  </si>
  <si>
    <t>CLAIM ALAT  (BA 05)</t>
  </si>
  <si>
    <t>0348/PPA-V/24</t>
  </si>
  <si>
    <t>010.006-24.31998145</t>
  </si>
  <si>
    <t>CLAIM ALAT  (BA 06)</t>
  </si>
  <si>
    <t>0349/PPA-V/24</t>
  </si>
  <si>
    <t>010.006-24.31998146</t>
  </si>
  <si>
    <t>CLAIM ALAT  (BA 07)</t>
  </si>
  <si>
    <t>0350/PPA-V/24</t>
  </si>
  <si>
    <t>010.006-24.31998147</t>
  </si>
  <si>
    <t>CLAIM ALAT  (BA 08)</t>
  </si>
  <si>
    <t>0351/PPA-V/24</t>
  </si>
  <si>
    <t>010.006-24.31998148</t>
  </si>
  <si>
    <t>SEWA 13 MAR 2024 SD 12 APR 2024</t>
  </si>
  <si>
    <t>0352/PPA-V/24</t>
  </si>
  <si>
    <t>010.006-24.31998149</t>
  </si>
  <si>
    <t>0353/PPA-V/24</t>
  </si>
  <si>
    <t>010.006-24.31998150</t>
  </si>
  <si>
    <t>0354/PPA-V/24</t>
  </si>
  <si>
    <t>010.006-24.31998151</t>
  </si>
  <si>
    <t>ARUMAYA</t>
  </si>
  <si>
    <t>0355/PPA-V/24</t>
  </si>
  <si>
    <t>010.006-24.31998152</t>
  </si>
  <si>
    <t>GRAND WISATA-5</t>
  </si>
  <si>
    <t>0356/PPA-V/24</t>
  </si>
  <si>
    <t>010.006-24.31998153</t>
  </si>
  <si>
    <t>SEWA 18 MEI 2024 SD 17 JUNI 2024</t>
  </si>
  <si>
    <t>0357/PPA-V/24</t>
  </si>
  <si>
    <t>010.006-24.31998154</t>
  </si>
  <si>
    <t>GRAND WISATA-6</t>
  </si>
  <si>
    <t>0358/PPA-V/24</t>
  </si>
  <si>
    <t>010.006-24.31998155</t>
  </si>
  <si>
    <t>SEWA 17 MEI 2024 SD 16 JUNI 2024</t>
  </si>
  <si>
    <t>0359/PPA-V/24</t>
  </si>
  <si>
    <t>010.006-24.31998156</t>
  </si>
  <si>
    <t>GRAND WISATA-7</t>
  </si>
  <si>
    <t>0360/PPA-V/24</t>
  </si>
  <si>
    <t>010.006-24.31998157</t>
  </si>
  <si>
    <t>SEWA 21 MEI 2024 SD 20 JUNI 2024</t>
  </si>
  <si>
    <t>0361/PPA-V/24</t>
  </si>
  <si>
    <t>010.006-24.31998158</t>
  </si>
  <si>
    <t>0362/PPA-V/24</t>
  </si>
  <si>
    <t>010.006-24.31998159</t>
  </si>
  <si>
    <t>SEWA 26 AGST 2023 SD 31 JAN 2024</t>
  </si>
  <si>
    <t>0364/PPA-V/24</t>
  </si>
  <si>
    <t>010.006-24.31998161</t>
  </si>
  <si>
    <t>LIVING KOTA WISATA</t>
  </si>
  <si>
    <t>0365/PPA-V/24</t>
  </si>
  <si>
    <t>010.006-24.31998162</t>
  </si>
  <si>
    <t>0366/PPA-V/24</t>
  </si>
  <si>
    <t>010.006-24.31998163</t>
  </si>
  <si>
    <t>0367/PPA-V/24</t>
  </si>
  <si>
    <t>011.006-24.31998164</t>
  </si>
  <si>
    <t>SEWA 1 MEI 2024 SD 18 MEI 2024</t>
  </si>
  <si>
    <t>0368/PPA-V/24</t>
  </si>
  <si>
    <t>010.006-24.31998165</t>
  </si>
  <si>
    <t>HAMTON</t>
  </si>
  <si>
    <t>SEWA  30 APR 2024</t>
  </si>
  <si>
    <t>0369/PPA-V/24</t>
  </si>
  <si>
    <t>010.006-24.31998166</t>
  </si>
  <si>
    <t>0370/PPA-V/24</t>
  </si>
  <si>
    <t>010.006-24.31998167</t>
  </si>
  <si>
    <t>0371/PPA-V/24</t>
  </si>
  <si>
    <t>010.006-24.31998168</t>
  </si>
  <si>
    <t>0372/PPA-V/24</t>
  </si>
  <si>
    <t>010.006-24.31998169</t>
  </si>
  <si>
    <t>0373/PPA-V/24</t>
  </si>
  <si>
    <t>010.006-24.31998170</t>
  </si>
  <si>
    <t>PURI 2</t>
  </si>
  <si>
    <t>0374/PPA-V/24</t>
  </si>
  <si>
    <t>010.006-24.31998171</t>
  </si>
  <si>
    <t>SEWA 27 FEB 2024 SD 26 MAR 2024</t>
  </si>
  <si>
    <t>0375/PPA-V/24</t>
  </si>
  <si>
    <t>010.006-24.31998172</t>
  </si>
  <si>
    <t>SEWA 21 FEB 2024 SD 20 MAR 2024</t>
  </si>
  <si>
    <t>0376/PPA-V/24</t>
  </si>
  <si>
    <t>010.006-24.31998173</t>
  </si>
  <si>
    <t>0377/PPA-V/24</t>
  </si>
  <si>
    <t>010.006-24.31998174</t>
  </si>
  <si>
    <t>SEWA 1 MEI 2024 SD 31 MEI 2024</t>
  </si>
  <si>
    <t>0378/PPA-V/24</t>
  </si>
  <si>
    <t>010.006-24.31998175</t>
  </si>
  <si>
    <t>0379/PPA-V/24</t>
  </si>
  <si>
    <t>010.006-24.31998176</t>
  </si>
  <si>
    <t>SEKISO</t>
  </si>
  <si>
    <t>SEWA 21 MEI 2024 SD 31 MEI 2024</t>
  </si>
  <si>
    <t>0380/PPA-VI/24</t>
  </si>
  <si>
    <t>010.006-24.31998177</t>
  </si>
  <si>
    <t>0381/PPA-VI/24</t>
  </si>
  <si>
    <t>010.006-24.31998178</t>
  </si>
  <si>
    <t>SEWA 29 JAN 2024 SD 28 FEB 2024</t>
  </si>
  <si>
    <t>0382/PPA-VI/24</t>
  </si>
  <si>
    <t>010.006-24.31998179</t>
  </si>
  <si>
    <t>SEWA 29 FEB 2024 SD 28 MAR 2024</t>
  </si>
  <si>
    <t>0383/PPA-VI/24</t>
  </si>
  <si>
    <t>010.006-24.31998180</t>
  </si>
  <si>
    <t>SIERRA 9609/10570/GR 5000235157</t>
  </si>
  <si>
    <t>0384/PPA-VI/24</t>
  </si>
  <si>
    <t>010.006-24.31998181</t>
  </si>
  <si>
    <t>SIERRA 9609/10570/GR 5000235158</t>
  </si>
  <si>
    <t>0385/PPA-VI/24</t>
  </si>
  <si>
    <t>010.006-24.31998182</t>
  </si>
  <si>
    <t>SIERRA 9609/10570/GR 5000235160</t>
  </si>
  <si>
    <t>0386/PPA-VI/24</t>
  </si>
  <si>
    <t>010.006-24.31998183</t>
  </si>
  <si>
    <t>SIERRA 10056/10642/GR 5000235169</t>
  </si>
  <si>
    <t>SEWA 1 MAR 2024 SD 31 MAR 2024</t>
  </si>
  <si>
    <t>0387/PPA-VI/24</t>
  </si>
  <si>
    <t>010.006-24.31998184</t>
  </si>
  <si>
    <t>SIERRA 10491/GR 5000235176</t>
  </si>
  <si>
    <t>SEWA 7 MAR 2024 SD 31 MAR 2024</t>
  </si>
  <si>
    <t>0388/PPA-VI/24</t>
  </si>
  <si>
    <t>010.006-24.31998185</t>
  </si>
  <si>
    <t>SIERRA 10559/GR 5000235175</t>
  </si>
  <si>
    <t>SEWA 16 MAR 2024 SD 31 MAR 2024</t>
  </si>
  <si>
    <t>0389/PPA-VI/24</t>
  </si>
  <si>
    <t>010.006-24.31998186</t>
  </si>
  <si>
    <t xml:space="preserve">SUMBANGSEL PUSAT </t>
  </si>
  <si>
    <t>0390/PPA-VI/24</t>
  </si>
  <si>
    <t>010.006-24.31998187</t>
  </si>
  <si>
    <t>AMMAN TONGGO</t>
  </si>
  <si>
    <t>0391/PPA-VI/24</t>
  </si>
  <si>
    <t>010.006-24.31998188</t>
  </si>
  <si>
    <t>GRAND WISATA-8</t>
  </si>
  <si>
    <t>SEWA 31 MEI 2024 SD 30 JUNI 2024</t>
  </si>
  <si>
    <t>0392/PPA-VI/24</t>
  </si>
  <si>
    <t>010.006-24.31998189</t>
  </si>
  <si>
    <t xml:space="preserve">SUMBANGSEL PROYEK </t>
  </si>
  <si>
    <t>0393/PPA-VI/24</t>
  </si>
  <si>
    <t>010.006-24.31998190</t>
  </si>
  <si>
    <t>ARUMAYA PO 4200030843</t>
  </si>
  <si>
    <t>0394/PPA-VI/24</t>
  </si>
  <si>
    <t>010.006-24.31998191</t>
  </si>
  <si>
    <t>ARUMAYA PO 4200030857</t>
  </si>
  <si>
    <t>0395/PPA-VI/24</t>
  </si>
  <si>
    <t>010.006-24.31998192</t>
  </si>
  <si>
    <t>ARUMAYA PO 4200030900</t>
  </si>
  <si>
    <t>0396/PPA-VI/24</t>
  </si>
  <si>
    <t>010.006-24.31998193</t>
  </si>
  <si>
    <t>0397/PPA-VI/24</t>
  </si>
  <si>
    <t>010.006-24.31998194</t>
  </si>
  <si>
    <t>RT SUMBAWA</t>
  </si>
  <si>
    <t>SEWA 19 APR 2024 SD 30 APR 2024</t>
  </si>
  <si>
    <t>0398/PPA-VI/24</t>
  </si>
  <si>
    <t>010.006-24.31998195</t>
  </si>
  <si>
    <t>0399/PPA-VI/24</t>
  </si>
  <si>
    <t>010.006-24.31998196</t>
  </si>
  <si>
    <t>INFRA STUDIO ALAM SENTUL</t>
  </si>
  <si>
    <t>SEWA 24 NOV 2023 SD 23 DES 2023</t>
  </si>
  <si>
    <t>0400/PPA-VI/24</t>
  </si>
  <si>
    <t>010.006-24.31998197</t>
  </si>
  <si>
    <t>SEWA 24 DES 2023 SD 23 JAN 2024</t>
  </si>
  <si>
    <t>0401/PPA-VI/24</t>
  </si>
  <si>
    <t>011.008-24.06579455</t>
  </si>
  <si>
    <t>ANTASARI A1104/078</t>
  </si>
  <si>
    <t>0402/PPA-VI/24</t>
  </si>
  <si>
    <t>011.008-24.06579456</t>
  </si>
  <si>
    <t>0403/PPA-VI/24</t>
  </si>
  <si>
    <t>010.008-24.06579457</t>
  </si>
  <si>
    <t>LIVING WORD KOTA WISATA</t>
  </si>
  <si>
    <t>0404/PPA-VI/24</t>
  </si>
  <si>
    <t>010.008-24.06579458</t>
  </si>
  <si>
    <t>0405/PPA-VI/24</t>
  </si>
  <si>
    <t>010.008-24.06579459</t>
  </si>
  <si>
    <t>0406/PPA-VI/24</t>
  </si>
  <si>
    <t>010.008-24.06579460</t>
  </si>
  <si>
    <t>0407/PPA-VI/24</t>
  </si>
  <si>
    <t>010.008-24.06579461</t>
  </si>
  <si>
    <t>0408/PPA-VI/24</t>
  </si>
  <si>
    <t>010.008-24.06579462</t>
  </si>
  <si>
    <t>0409/PPA-VI/24</t>
  </si>
  <si>
    <t>010.008-24.06579463</t>
  </si>
  <si>
    <t>0410/PPA-VI/24</t>
  </si>
  <si>
    <t>010.008-24.06579464</t>
  </si>
  <si>
    <t>0411/PPA-VI/24</t>
  </si>
  <si>
    <t>010.008-24.06579465</t>
  </si>
  <si>
    <t>0412/PPA-VI/24</t>
  </si>
  <si>
    <t>010.008-24.06579466</t>
  </si>
  <si>
    <t>0413/PPA-VI/24</t>
  </si>
  <si>
    <t>010.008-24.06579467</t>
  </si>
  <si>
    <t>0414/PPA-VI/24</t>
  </si>
  <si>
    <t>010.008-24.06579468</t>
  </si>
  <si>
    <t>0415/PPA-VI/24</t>
  </si>
  <si>
    <t>010.008-24.06579469</t>
  </si>
  <si>
    <t>0416/PPA-VI/24</t>
  </si>
  <si>
    <t>010.008-24.06579470</t>
  </si>
  <si>
    <t>ADM/GR 5000237767/PO 400010983</t>
  </si>
  <si>
    <t>0417/PPA-VI/24</t>
  </si>
  <si>
    <t>010.008-24.06579471</t>
  </si>
  <si>
    <t>0418/PPA-VI/24</t>
  </si>
  <si>
    <t>010.008-24.06579472</t>
  </si>
  <si>
    <t>0419/PPA-VI/24</t>
  </si>
  <si>
    <t>010.008-24.06579473</t>
  </si>
  <si>
    <t>0420/PPA-VI/24</t>
  </si>
  <si>
    <t>010.008-24.06579474</t>
  </si>
  <si>
    <t>0421/PPA-VI/24</t>
  </si>
  <si>
    <t>010.008-24.06579475</t>
  </si>
  <si>
    <t>CANAL WALL</t>
  </si>
  <si>
    <t>0422/PPA-VI/24</t>
  </si>
  <si>
    <t>010.008-24.06579476</t>
  </si>
  <si>
    <t>0423/PPA-VI/24</t>
  </si>
  <si>
    <t>010.008-24.06579477</t>
  </si>
  <si>
    <t>0424/PPA-VI/24</t>
  </si>
  <si>
    <t>010.008-24.06579478</t>
  </si>
  <si>
    <t>GENOVA GR 5000237775/PO 4400010972</t>
  </si>
  <si>
    <t>SEWA 1 OKT 2023 SD 29 FEB 2024</t>
  </si>
  <si>
    <t>0425/PPA-VI/24</t>
  </si>
  <si>
    <t>010.008-24.06579479</t>
  </si>
  <si>
    <t>GENOVA GR 5000237777/PO 4400010973</t>
  </si>
  <si>
    <t>SEWA 1 MAR 2024 SD 30 APRIL 2024</t>
  </si>
  <si>
    <t>0426/PPA-VI/24</t>
  </si>
  <si>
    <t>010.008-24.06579480</t>
  </si>
  <si>
    <t>0427/PPA-VI/24</t>
  </si>
  <si>
    <t>010.008-24.06579481</t>
  </si>
  <si>
    <t>PENJUALAN PVC CONE</t>
  </si>
  <si>
    <t>0428/PPA-VI/24</t>
  </si>
  <si>
    <t>010.008-24.06579482</t>
  </si>
  <si>
    <t>DWIMITRA GUNATAMA KONSTRUKSI</t>
  </si>
  <si>
    <t>DELTAMAS</t>
  </si>
  <si>
    <t>0429/PPA-VI/24</t>
  </si>
  <si>
    <t>010.008-24.06579483</t>
  </si>
  <si>
    <t>SEWA 19 JUNI 2024 SD 18 AGST 2024</t>
  </si>
  <si>
    <t>0430/PPA-VI/24</t>
  </si>
  <si>
    <t>010.008-24.06579484</t>
  </si>
  <si>
    <t>0431/PPA-VI/24</t>
  </si>
  <si>
    <t>010.008-24.06579485</t>
  </si>
  <si>
    <t>0432/PPA-VI/24</t>
  </si>
  <si>
    <t>010.008-24.06579486</t>
  </si>
  <si>
    <t>0433/PPA-VI/24</t>
  </si>
  <si>
    <t>010.008-24.06579487</t>
  </si>
  <si>
    <t>0434/PPA-VI/24</t>
  </si>
  <si>
    <t>010.008-24.06579488</t>
  </si>
  <si>
    <t>WAREHOUSE</t>
  </si>
  <si>
    <t>0435/PPA-VI/24</t>
  </si>
  <si>
    <t>010.008-24.06579489</t>
  </si>
  <si>
    <t>0436/PPA-VI/24</t>
  </si>
  <si>
    <t>010.008-24.06579490</t>
  </si>
  <si>
    <t>0437/PPA-VI/24</t>
  </si>
  <si>
    <t>010.008-24.06579491</t>
  </si>
  <si>
    <t>0438/PPA-VI/24</t>
  </si>
  <si>
    <t>010.008-24.06579492</t>
  </si>
  <si>
    <t>0439/PPA-VI/24</t>
  </si>
  <si>
    <t>010.008-24.06579493</t>
  </si>
  <si>
    <t>CIPLAZ</t>
  </si>
  <si>
    <t>0440/PPA-VI/24</t>
  </si>
  <si>
    <t>010.008-24.06579494</t>
  </si>
  <si>
    <t>TABANAN BALI</t>
  </si>
  <si>
    <t>SEWA 30 JAN 2024 SD 31 JAN 2024</t>
  </si>
  <si>
    <t>0441/PPA-VI/24</t>
  </si>
  <si>
    <t>010.008-24.06579495</t>
  </si>
  <si>
    <t>0442/PPA-VI/24</t>
  </si>
  <si>
    <t>010.008-24.06579496</t>
  </si>
  <si>
    <t>0443/PPA-VI/24</t>
  </si>
  <si>
    <t>010.008-24.06579497</t>
  </si>
  <si>
    <t>0444/PPA-VI/24</t>
  </si>
  <si>
    <t>010.008-24.06579498</t>
  </si>
  <si>
    <t>0445/PPA-VI/24</t>
  </si>
  <si>
    <t>010.008-24.06579499</t>
  </si>
  <si>
    <t>0446/PPA-VI/24</t>
  </si>
  <si>
    <t>010.008-24.06579500</t>
  </si>
  <si>
    <t>ARUMAYA PO 4200031194</t>
  </si>
  <si>
    <t>0447/PPA-VI/24</t>
  </si>
  <si>
    <t>010.008-24.06579501</t>
  </si>
  <si>
    <t>0448/PPA-VI/24</t>
  </si>
  <si>
    <t>010.008-24.06579502</t>
  </si>
  <si>
    <t>MURINDA IRON STEEL</t>
  </si>
  <si>
    <t>PCIM CIKANDE (0077)</t>
  </si>
  <si>
    <t>SEWA 24 FEB 2024 SD 23 MARET 2024</t>
  </si>
  <si>
    <t>0449/PPA-VI/24</t>
  </si>
  <si>
    <t>010.008-24.06579503</t>
  </si>
  <si>
    <t>BLI BLI (287)</t>
  </si>
  <si>
    <t>SEWA 6 OKT 2023 SD 5 NOV 2023</t>
  </si>
  <si>
    <t>0450/PPA-VI/24</t>
  </si>
  <si>
    <t>010.008-24.06579504</t>
  </si>
  <si>
    <t>BLI BLI (288)</t>
  </si>
  <si>
    <t>SEWA 21 NOV 2023 SD 5 DES 2023</t>
  </si>
  <si>
    <t>0451/PPA-VI/24</t>
  </si>
  <si>
    <t>010.008-24.06579505</t>
  </si>
  <si>
    <t>BLI BLI (290)</t>
  </si>
  <si>
    <t>SEWA 6 NOV 2023 SD 5 DES 2023</t>
  </si>
  <si>
    <t>0452/PPA-VI/24</t>
  </si>
  <si>
    <t>010.008-24.06579506</t>
  </si>
  <si>
    <t>BLI BLI (291)</t>
  </si>
  <si>
    <t>SEWA 6 DES 2023 SD 5 JAN 2024</t>
  </si>
  <si>
    <t>0453/PPA-VI/24</t>
  </si>
  <si>
    <t>010.008-24.06579507</t>
  </si>
  <si>
    <t>BLI BLI (289)</t>
  </si>
  <si>
    <t>0454/PPA-VI/24</t>
  </si>
  <si>
    <t>010.008-24.06579508</t>
  </si>
  <si>
    <t>BLI BLI (293)</t>
  </si>
  <si>
    <t>SEWA 6 JAN 2024 SD 5 FEB 2024</t>
  </si>
  <si>
    <t>0455/PPA-VI/24</t>
  </si>
  <si>
    <t>010.008-24.06579509</t>
  </si>
  <si>
    <t>BLI BLI (292)</t>
  </si>
  <si>
    <t>0456/PPA-VI/24</t>
  </si>
  <si>
    <t>010.008-24.06579510</t>
  </si>
  <si>
    <t>BLI BLI (309)</t>
  </si>
  <si>
    <t>SEWA 6 FEB 2024 SD 5 MARET 2024</t>
  </si>
  <si>
    <t>0457/PPA-VI/24</t>
  </si>
  <si>
    <t>010.008-24.06579511</t>
  </si>
  <si>
    <t>BLI BLI (294)</t>
  </si>
  <si>
    <t>0458/PPA-VI/24</t>
  </si>
  <si>
    <t>010.008-24.06579512</t>
  </si>
  <si>
    <t>BLI BLI (319)</t>
  </si>
  <si>
    <t>SEWA 6 MARET 2024 SD 5 APRIL 2024</t>
  </si>
  <si>
    <t>0459/PPA-VI/24</t>
  </si>
  <si>
    <t>010.008-24.06579513</t>
  </si>
  <si>
    <t>NKI - SENTUL BOGOR</t>
  </si>
  <si>
    <t>SEWA 10 MEI 2024 SD 31 MEI 2024</t>
  </si>
  <si>
    <t>0460/PPA-VI/24</t>
  </si>
  <si>
    <t>010.008-24.06579514</t>
  </si>
  <si>
    <t>CLAIM ALAT RUSAK</t>
  </si>
  <si>
    <t>0461/PPA-VI/24</t>
  </si>
  <si>
    <t>010.008-24.06579515</t>
  </si>
  <si>
    <t>CLAIM ALAT HILANG</t>
  </si>
  <si>
    <t>0462/PPA-VI/24</t>
  </si>
  <si>
    <t>010.008-24.06579516</t>
  </si>
  <si>
    <t>GRAND WISATA-9 (PO 257)</t>
  </si>
  <si>
    <t>0463/PPA-VI/24</t>
  </si>
  <si>
    <t>010.008-24.06579517</t>
  </si>
  <si>
    <t>SEWA 13 JUNI 2024 SD 12 JULI 2024</t>
  </si>
  <si>
    <t>0464/PPA-VI/24</t>
  </si>
  <si>
    <t>010.008-24.06579518</t>
  </si>
  <si>
    <t>GRAND WISATA-1 (PO 276)</t>
  </si>
  <si>
    <t>SEWA 24 MEI 2024 SD 23 JUNI 2024</t>
  </si>
  <si>
    <t>0465/PPA-VI/24</t>
  </si>
  <si>
    <t>010.008-24.06579519</t>
  </si>
  <si>
    <t>GRAND WISATA-2 (PO 277)</t>
  </si>
  <si>
    <t>SEWA 29 MEI 2024 SD 28 JUNI 2024</t>
  </si>
  <si>
    <t>0466/PPA-VI/24</t>
  </si>
  <si>
    <t>010.008-24.06579520</t>
  </si>
  <si>
    <t>GRAND WISATA-3 (PO 278)</t>
  </si>
  <si>
    <t>SEWA 8 JUNI 2024 SD 7 JULI 2024</t>
  </si>
  <si>
    <t>0467/PPA-VI/24</t>
  </si>
  <si>
    <t>010.008-24.06579521</t>
  </si>
  <si>
    <t>GRAND WISATA-4 (PO 279)</t>
  </si>
  <si>
    <t>SEWA 11 JUNI 2024 SD 10 JULI 2024</t>
  </si>
  <si>
    <t>0468/PPA-VI/24</t>
  </si>
  <si>
    <t>010.008-24.06579522</t>
  </si>
  <si>
    <t>GRAND WISATA-5 (PO 281)</t>
  </si>
  <si>
    <t>SEWA 18 JUNI 2024 SD 17 JULI 2024</t>
  </si>
  <si>
    <t>0469/PPA-VI/24</t>
  </si>
  <si>
    <t>010.008-24.06579523</t>
  </si>
  <si>
    <t>GRAND WISATA-6 (PO 280)</t>
  </si>
  <si>
    <t>SEWA 17 JUNI 2024 SD 16 JULI 2024</t>
  </si>
  <si>
    <t>0470/PPA-VI/24</t>
  </si>
  <si>
    <t>010.008-24.06579524</t>
  </si>
  <si>
    <t>UANG MUKA,TAGIHAN KE-2 70%</t>
  </si>
  <si>
    <t>0471/PPA-VI/24</t>
  </si>
  <si>
    <t>010.008-24.06579525</t>
  </si>
  <si>
    <t>0472/PPA-VI/24</t>
  </si>
  <si>
    <t>010.008-24.06579526</t>
  </si>
  <si>
    <t>0473/PPA-VI/24</t>
  </si>
  <si>
    <t>010.008-24.06579527</t>
  </si>
  <si>
    <t>0474/PPA-VI/24</t>
  </si>
  <si>
    <t>010.008-24.06579528</t>
  </si>
  <si>
    <t>0475/PPA-VI/24</t>
  </si>
  <si>
    <t>010.008-24.06579529</t>
  </si>
  <si>
    <t>SEWA 1 JUNI 2024 SD 30 JUNI 2024</t>
  </si>
  <si>
    <t>0476/PPA-VI/24</t>
  </si>
  <si>
    <t>010.008-24.06579530</t>
  </si>
  <si>
    <t>0477/PPA-VI/24</t>
  </si>
  <si>
    <t>010.008-24.06579531</t>
  </si>
  <si>
    <t>0478/PPA-VI/24</t>
  </si>
  <si>
    <t>010.008-24.06579532</t>
  </si>
  <si>
    <t>NISSO</t>
  </si>
  <si>
    <t>SEWA 21 JUNI 2024 SD 30 JUNI 2024</t>
  </si>
  <si>
    <t>0479/PPA-VII/24</t>
  </si>
  <si>
    <t>010.008-24.06579533</t>
  </si>
  <si>
    <t>0480/PPA-VII/24</t>
  </si>
  <si>
    <t>010.008-24.06579534</t>
  </si>
  <si>
    <t>PURI PUSAT</t>
  </si>
  <si>
    <t>0481/PPA-VII/24</t>
  </si>
  <si>
    <t>010.008-24.06579535</t>
  </si>
  <si>
    <t>SUMBAWA</t>
  </si>
  <si>
    <t>0482/PPA-VII/24</t>
  </si>
  <si>
    <t>010.008-24.06579536</t>
  </si>
  <si>
    <t>0483/PPA-VII/24</t>
  </si>
  <si>
    <t>010.008-24.06579537</t>
  </si>
  <si>
    <t>CLAIM ALAT  (BA 09)</t>
  </si>
  <si>
    <t>0484/PPA-VII/24</t>
  </si>
  <si>
    <t>010.008-24.06579538</t>
  </si>
  <si>
    <t>CLAIM ALAT  (BA 10)</t>
  </si>
  <si>
    <t>0485/PPA-VII/24</t>
  </si>
  <si>
    <t>010.008-24.06579539</t>
  </si>
  <si>
    <t>CLAIM ALAT  (BA 11)</t>
  </si>
  <si>
    <t>0486/PPA-VII/24</t>
  </si>
  <si>
    <t>010.008-24.06579540</t>
  </si>
  <si>
    <t>BDX/PO 4200031412</t>
  </si>
  <si>
    <t>0487/PPA-VII/24</t>
  </si>
  <si>
    <t>010.008-24.06579541</t>
  </si>
  <si>
    <t>CLAIM ALAT  (BA 12)</t>
  </si>
  <si>
    <t>0488/PPA-VII/24</t>
  </si>
  <si>
    <t>010.008-24.06579542</t>
  </si>
  <si>
    <t>CLAIM ALAT  (BA 13)</t>
  </si>
  <si>
    <t>0489/PPA-VII/24</t>
  </si>
  <si>
    <t>010.008-24.06579543</t>
  </si>
  <si>
    <t>CLAIM ALAT  (BA 14)</t>
  </si>
  <si>
    <t>0490/PPA-VII/24</t>
  </si>
  <si>
    <t>010.008-24.06579544</t>
  </si>
  <si>
    <t>0491/PPA-VII/24</t>
  </si>
  <si>
    <t>010.008-24.06579545</t>
  </si>
  <si>
    <t>0492/PPA-VII/24</t>
  </si>
  <si>
    <t>010.008-24.06579546</t>
  </si>
  <si>
    <t>GRAND WISATA-10 (PO 286)</t>
  </si>
  <si>
    <t>0493/PPA-VII/24</t>
  </si>
  <si>
    <t>010.008-24.06579547</t>
  </si>
  <si>
    <t>SEWA 29 JUN 2024 SD 28 JUL 2024</t>
  </si>
  <si>
    <t>0494/PPA-VII/24</t>
  </si>
  <si>
    <t>010.008-24.06579548</t>
  </si>
  <si>
    <t>0495/PPA-VII/24</t>
  </si>
  <si>
    <t>010.008-24.06579549</t>
  </si>
  <si>
    <t>0496/PPA-VII/24</t>
  </si>
  <si>
    <t>010.008-24.06579550</t>
  </si>
  <si>
    <t>SEWA 6 JUNI 2024 SD 30 JUNI 2024</t>
  </si>
  <si>
    <t>0497/PPA-VII/24</t>
  </si>
  <si>
    <t>010.008-24.06579551</t>
  </si>
  <si>
    <t>AL AZHAR</t>
  </si>
  <si>
    <t>0498/PPA-VII/24</t>
  </si>
  <si>
    <t>010.008-24.06579552</t>
  </si>
  <si>
    <t>ANTASARI A1104/341</t>
  </si>
  <si>
    <t>SEWA 7 MARET 2024 SD 6 APRIL 2024</t>
  </si>
  <si>
    <t>0499/PPA-VII/24</t>
  </si>
  <si>
    <t>010.008-24.06579553</t>
  </si>
  <si>
    <t>BDX/PO 4200031623</t>
  </si>
  <si>
    <t>0500/PPA-VII/24</t>
  </si>
  <si>
    <t>010.008-24.06579554</t>
  </si>
  <si>
    <t>ARUMAYA/4200031618</t>
  </si>
  <si>
    <t>0501/PPA-VII/24</t>
  </si>
  <si>
    <t>011.008-24.06579555</t>
  </si>
  <si>
    <t>0502/PPA-VII/24</t>
  </si>
  <si>
    <t>010.008-24.06579556</t>
  </si>
  <si>
    <t>SUMMARECON MALL BANDUNG A1106</t>
  </si>
  <si>
    <t>SEWA 25 FEB 2024 SD 24 MARET 2024</t>
  </si>
  <si>
    <t>0503/PPA-VII/24</t>
  </si>
  <si>
    <t>010.008-24.06579557</t>
  </si>
  <si>
    <t>ACSET PONDASI INDONUSA</t>
  </si>
  <si>
    <t>JAPEK</t>
  </si>
  <si>
    <t>SEWA 25 MEI 2024 SD 23 JUN 2024</t>
  </si>
  <si>
    <t>0504/PPA-VII/24</t>
  </si>
  <si>
    <t>010.008-24.06579558</t>
  </si>
  <si>
    <t>EKA HOSPITAL DEPOK</t>
  </si>
  <si>
    <t>0505/PPA-VII/24</t>
  </si>
  <si>
    <t>010.008-24.06579559</t>
  </si>
  <si>
    <t>0506/PPA-VII/24</t>
  </si>
  <si>
    <t>010.008-24.06579560</t>
  </si>
  <si>
    <t>SEWA 27 MAR 2024 SD 26 APR 2024</t>
  </si>
  <si>
    <t>0507/PPA-VII/24</t>
  </si>
  <si>
    <t>010.008-24.06579561</t>
  </si>
  <si>
    <t>DESIGN &amp; BUILD WAREHOUSE KIIC</t>
  </si>
  <si>
    <t>0508/PPA-VII/24</t>
  </si>
  <si>
    <t>010.008-24.06579562</t>
  </si>
  <si>
    <t>0509/PPA-VII/24</t>
  </si>
  <si>
    <t>010.008-24.06579563</t>
  </si>
  <si>
    <t>0510/PPA-VII/24</t>
  </si>
  <si>
    <t>010.008-24.06579564</t>
  </si>
  <si>
    <t>0511/PPA-VII/24</t>
  </si>
  <si>
    <t>010.008-24.06579565</t>
  </si>
  <si>
    <t>0512/PPA-VII/24</t>
  </si>
  <si>
    <t>010.008-24.06579566</t>
  </si>
  <si>
    <t>SEWA 7 MAR 2024 SD 6 APR 2024</t>
  </si>
  <si>
    <t>0513/PPA-VII/24</t>
  </si>
  <si>
    <t>010.008-24.06579567</t>
  </si>
  <si>
    <t>0514/PPA-VII/24</t>
  </si>
  <si>
    <t>010.008-24.06579568</t>
  </si>
  <si>
    <t>0515/PPA-VII/24</t>
  </si>
  <si>
    <t>010.008-24.06579569</t>
  </si>
  <si>
    <t>0516/PPA-VII/24</t>
  </si>
  <si>
    <t>010.008-24.06579570</t>
  </si>
  <si>
    <t>0517/PPA-VII/24</t>
  </si>
  <si>
    <t>010.008-24.06579571</t>
  </si>
  <si>
    <t>0518/PPA-VII/24</t>
  </si>
  <si>
    <t>010.008-24.06579572</t>
  </si>
  <si>
    <t>0519/PPA-VII/24</t>
  </si>
  <si>
    <t>010.008-24.06579573</t>
  </si>
  <si>
    <t>0520/PPA-VII/24</t>
  </si>
  <si>
    <t>010.008-24.06579574</t>
  </si>
  <si>
    <t>SEWA 16 MEI 2024 SD 31 MEI 2024</t>
  </si>
  <si>
    <t>0521/PPA-VII/24</t>
  </si>
  <si>
    <t>010.008-24.06579575</t>
  </si>
  <si>
    <t>0522/PPA-VII/24</t>
  </si>
  <si>
    <t>010.008-24.06579576</t>
  </si>
  <si>
    <t>ASYA SENTARIUM FINAL PO 11117/GR 5000241053</t>
  </si>
  <si>
    <t>SEWA 1 FEB 2024 SD 31 MEI 2024</t>
  </si>
  <si>
    <t>0523/PPA-VII/24</t>
  </si>
  <si>
    <t>010.008-24.06579577</t>
  </si>
  <si>
    <t>0524/PPA-VII/24</t>
  </si>
  <si>
    <t>010.008-24.06579578</t>
  </si>
  <si>
    <t>0525/PPA-VII/24</t>
  </si>
  <si>
    <t>010.008-24.06579579</t>
  </si>
  <si>
    <t>0526/PPA-VII/24</t>
  </si>
  <si>
    <t>010.008-24.06579580</t>
  </si>
  <si>
    <t>0527/PPA-VII/24</t>
  </si>
  <si>
    <t>010.008-24.06579581</t>
  </si>
  <si>
    <t>0528/PPA-VII/24</t>
  </si>
  <si>
    <t>010.008-24.06579582</t>
  </si>
  <si>
    <t>0529/PPA-VII/24</t>
  </si>
  <si>
    <t>010.008-24.06579583</t>
  </si>
  <si>
    <t>0530/PPA-VII/24</t>
  </si>
  <si>
    <t>010.008-24.06579584</t>
  </si>
  <si>
    <t>0531/PPA-VII/24</t>
  </si>
  <si>
    <t>010.008-24.06579585</t>
  </si>
  <si>
    <t>0532/PPA-VII/24</t>
  </si>
  <si>
    <t>010.008-24.06579586</t>
  </si>
  <si>
    <t>BUMIKALA ALSUT</t>
  </si>
  <si>
    <t>0533/PPA-VII/24</t>
  </si>
  <si>
    <t>010.008-24.06579587</t>
  </si>
  <si>
    <t>0534/PPA-VII/24</t>
  </si>
  <si>
    <t>010.008-24.06579588</t>
  </si>
  <si>
    <t>0535/PPA-VII/24</t>
  </si>
  <si>
    <t>010.008-24.06579589</t>
  </si>
  <si>
    <t>0536/PPA-VII/24</t>
  </si>
  <si>
    <t>010.008-24.06579590</t>
  </si>
  <si>
    <t>0537/PPA-VII/24</t>
  </si>
  <si>
    <t>010.008-24.06579591</t>
  </si>
  <si>
    <t>SEWA 7 APR 2024 SD 6 MEI 2024</t>
  </si>
  <si>
    <t>0538/PPA-VII/24</t>
  </si>
  <si>
    <t>010.008-24.06579592</t>
  </si>
  <si>
    <t>SEWA 7 MEI 2024 SD 6 JUNI 2024</t>
  </si>
  <si>
    <t>0539/PPA-VII/24</t>
  </si>
  <si>
    <t>010.008-24.06579593</t>
  </si>
  <si>
    <t>0540/PPA-VII/24</t>
  </si>
  <si>
    <t>010.008-24.06579594</t>
  </si>
  <si>
    <t>SEWA 7 JUNI 2024 SD 6 JULI 2024</t>
  </si>
  <si>
    <t>0541/PPA-VII/24</t>
  </si>
  <si>
    <t>010.008-24.06579595</t>
  </si>
  <si>
    <t>0542/PPA-VII/24</t>
  </si>
  <si>
    <t>010.008-24.06579596</t>
  </si>
  <si>
    <t>0543/PPA-VII/24</t>
  </si>
  <si>
    <t>010.008-24.06579597</t>
  </si>
  <si>
    <t>BDX 10883/GR 5000241025</t>
  </si>
  <si>
    <t>0544/PPA-VII/24</t>
  </si>
  <si>
    <t>010.008-24.06579598</t>
  </si>
  <si>
    <t>BDX 11164/GR 5000241258</t>
  </si>
  <si>
    <t>SEWA 11 MEI 2024 SD 30 JUNI 2024</t>
  </si>
  <si>
    <t>0545/PPA-VII/24</t>
  </si>
  <si>
    <t>010.008-24.06579599</t>
  </si>
  <si>
    <t>0546/PPA-VII/24</t>
  </si>
  <si>
    <t>010.008-24.06579600</t>
  </si>
  <si>
    <t>0547/PPA-VII/24</t>
  </si>
  <si>
    <t>010.008-24.06579601</t>
  </si>
  <si>
    <t>0548/PPA-VII/24</t>
  </si>
  <si>
    <t>010.008-24.06579602</t>
  </si>
  <si>
    <t>0549/PPA-VII/24</t>
  </si>
  <si>
    <t>010.008-24.06579603</t>
  </si>
  <si>
    <t>NKI SENTUL BOGOR</t>
  </si>
  <si>
    <t>0550/PPA-VII/24</t>
  </si>
  <si>
    <t>010.008-24.06579604</t>
  </si>
  <si>
    <t>LGI MAJALENGKA</t>
  </si>
  <si>
    <t>SEWA 4 JUNI 2024 SD 30 JUNI 2024</t>
  </si>
  <si>
    <t>0551/PPA-VII/24</t>
  </si>
  <si>
    <t>010.008-24.06579605</t>
  </si>
  <si>
    <t>TAMAN TEKNO</t>
  </si>
  <si>
    <t>SEWA 13 JUNI 2024 SD 30 JUNI 2024</t>
  </si>
  <si>
    <t>0552/PPA-VII/24</t>
  </si>
  <si>
    <t>010.008-24.06579606</t>
  </si>
  <si>
    <t>0553/PPA-VII/24</t>
  </si>
  <si>
    <t>010.008-24.06579607</t>
  </si>
  <si>
    <t>0554/PPA-VII/24</t>
  </si>
  <si>
    <t>010.008-24.06579608</t>
  </si>
  <si>
    <t>ARCADE</t>
  </si>
  <si>
    <t>0555/PPA-VII/24</t>
  </si>
  <si>
    <t>010.008-24.06579609</t>
  </si>
  <si>
    <t>0556/PPA-VII/24</t>
  </si>
  <si>
    <t>010.008-24.06579610</t>
  </si>
  <si>
    <t xml:space="preserve">GRAND WISATA </t>
  </si>
  <si>
    <t>0557/PPA-VII/24</t>
  </si>
  <si>
    <t>010.008-24.06579611</t>
  </si>
  <si>
    <t>0558/PPA-VII/24</t>
  </si>
  <si>
    <t>010.008-24.06579612</t>
  </si>
  <si>
    <t>SEWA 24 JAN 2024 SD 23 FEB 2024</t>
  </si>
  <si>
    <t>0559/PPA-VII/24</t>
  </si>
  <si>
    <t>010.008-24.06579613</t>
  </si>
  <si>
    <t>0560/PPA-VII/24</t>
  </si>
  <si>
    <t>010.008-24.06579614</t>
  </si>
  <si>
    <t>SEWA 24 FEB 2024 SD 23 MAR 2024</t>
  </si>
  <si>
    <t>0561/PPA-VII/24</t>
  </si>
  <si>
    <t>010.008-24.06579615</t>
  </si>
  <si>
    <t>0562/PPA-VII/24</t>
  </si>
  <si>
    <t>010.008-24.06579616</t>
  </si>
  <si>
    <t>SEWA 24 MAR 2024 SD 23 APR 2024</t>
  </si>
  <si>
    <t>0563/PPA-VII/24</t>
  </si>
  <si>
    <t>010.008-24.06579617</t>
  </si>
  <si>
    <t>0564/PPA-VII/24</t>
  </si>
  <si>
    <t>010.008-24.06579618</t>
  </si>
  <si>
    <t>0565/PPA-VII/24</t>
  </si>
  <si>
    <t>010.008-24.06579619</t>
  </si>
  <si>
    <t>0566/PPA-VII/24</t>
  </si>
  <si>
    <t>010.008-24.06579620</t>
  </si>
  <si>
    <t>0567/PPA-VII/24</t>
  </si>
  <si>
    <t>010.008-24.06579621</t>
  </si>
  <si>
    <t>GRAND WISATA-1 (PO 321)</t>
  </si>
  <si>
    <t>SEWA 24 JUN 2024 SD 23 JUL 2024</t>
  </si>
  <si>
    <t>0568/PPA-VII/24</t>
  </si>
  <si>
    <t>010.008-24.06579622</t>
  </si>
  <si>
    <t>GRAND WISATA-2 (PO 320)</t>
  </si>
  <si>
    <t>0569/PPA-VII/24</t>
  </si>
  <si>
    <t>010.008-24.06579623</t>
  </si>
  <si>
    <t>TARAKAN 078</t>
  </si>
  <si>
    <t>0570/PPA-VII/24</t>
  </si>
  <si>
    <t>010.008-24.06579624</t>
  </si>
  <si>
    <t>SEWA 27 APR 2024 SD 26 MEI 2024</t>
  </si>
  <si>
    <t>0571/PPA-VII/24</t>
  </si>
  <si>
    <t>010.008-24.06579625</t>
  </si>
  <si>
    <t>SEWA 27 MEI 2024 SD 26 JUNI 2024</t>
  </si>
  <si>
    <t>0572/PPA-VII/24</t>
  </si>
  <si>
    <t>010.008-24.06579626</t>
  </si>
  <si>
    <t>TARAKAN 081</t>
  </si>
  <si>
    <t>SEWA 29 MAR 2024 SD 28 APR 2024</t>
  </si>
  <si>
    <t>0573/PPA-VII/24</t>
  </si>
  <si>
    <t>010.008-24.06579627</t>
  </si>
  <si>
    <t>0574/PPA-VII/24</t>
  </si>
  <si>
    <t>010.008-24.06579628</t>
  </si>
  <si>
    <t>0575/PPA-VII/24</t>
  </si>
  <si>
    <t>010.008-24.06579629</t>
  </si>
  <si>
    <t>TARAKAN 085</t>
  </si>
  <si>
    <t>SEWA 21 MAR 2024 SD 20 APR 2024</t>
  </si>
  <si>
    <t>0576/PPA-VII/24</t>
  </si>
  <si>
    <t>010.008-24.06579630</t>
  </si>
  <si>
    <t>SEWA 21 APR 2024 SD 20 MEI 2024</t>
  </si>
  <si>
    <t>0577/PPA-VII/24</t>
  </si>
  <si>
    <t>010.008-24.06579631</t>
  </si>
  <si>
    <t>0578/PPA-VII/24</t>
  </si>
  <si>
    <t>010.008-24.06579632</t>
  </si>
  <si>
    <t>0579/PPA-VII/24</t>
  </si>
  <si>
    <t>010.008-24.06579633</t>
  </si>
  <si>
    <t>0580/PPA-VII/24</t>
  </si>
  <si>
    <t>010.008-24.06579634</t>
  </si>
  <si>
    <t>0581/PPA-VII/24</t>
  </si>
  <si>
    <t>010.008-24.06579635</t>
  </si>
  <si>
    <t>0582/PPA-VII/24</t>
  </si>
  <si>
    <t>010.008-24.06579636</t>
  </si>
  <si>
    <t>0583/PPA-VII/24</t>
  </si>
  <si>
    <t>010.008-24.06579637</t>
  </si>
  <si>
    <t>SEWA 25 MAR 2024 SD 24 APR 2024</t>
  </si>
  <si>
    <t>0584/PPA-VII/24</t>
  </si>
  <si>
    <t>010.008-24.06579638</t>
  </si>
  <si>
    <t>SEWA 25 APR 2024 SD 24 MEI 2024</t>
  </si>
  <si>
    <t>0585/PPA-VII/24</t>
  </si>
  <si>
    <t>010.008-24.06579639</t>
  </si>
  <si>
    <t>0586/PPA-VII/24</t>
  </si>
  <si>
    <t>010.008-24.06579640</t>
  </si>
  <si>
    <t>0587/PPA-VII/24</t>
  </si>
  <si>
    <t>010.008-24.06579641</t>
  </si>
  <si>
    <t>0588/PPA-VII/24</t>
  </si>
  <si>
    <t>010.008-24.06579642</t>
  </si>
  <si>
    <t>JO CSCODS-TAISEI</t>
  </si>
  <si>
    <t>OASIS</t>
  </si>
  <si>
    <t>0589/PPA-VII/24</t>
  </si>
  <si>
    <t>010.008-24.06579643</t>
  </si>
  <si>
    <t>0590/PPA-VII/24</t>
  </si>
  <si>
    <t>010.008-24.06579644</t>
  </si>
  <si>
    <t>ARUMAYA/4400011254/5000243229</t>
  </si>
  <si>
    <t>SEWA 30 MAR 2024 SD 31 MEI 2024</t>
  </si>
  <si>
    <t>0591/PPA-VII/24</t>
  </si>
  <si>
    <t>010.008-24.06579645</t>
  </si>
  <si>
    <t>JAPEK SELATAN/4400011097/5000243076</t>
  </si>
  <si>
    <t>SEWA 25 JUN 2024 SD 24 JUL 2024</t>
  </si>
  <si>
    <t>0592/PPA-VII/24</t>
  </si>
  <si>
    <t>010.008-24.06579646</t>
  </si>
  <si>
    <t>SIERRA</t>
  </si>
  <si>
    <t>0593/PPA-VII/24</t>
  </si>
  <si>
    <t>010.008-24.06579647</t>
  </si>
  <si>
    <t>BDX/PO 4200032095</t>
  </si>
  <si>
    <t>0594/PPA-VII/24</t>
  </si>
  <si>
    <t>010.008-24.06579648</t>
  </si>
  <si>
    <t>PPLI BOGOR</t>
  </si>
  <si>
    <t>SEWA 1 JULI 2024 SD 31 JULI 2024</t>
  </si>
  <si>
    <t>0595/PPA-VII/24</t>
  </si>
  <si>
    <t>010.008-24.06579649</t>
  </si>
  <si>
    <t>0596/PPA-VII/24</t>
  </si>
  <si>
    <t>010.008-24.06579650</t>
  </si>
  <si>
    <t>0597/PPA-VII/24</t>
  </si>
  <si>
    <t>010.008-24.06579651</t>
  </si>
  <si>
    <t>NISO</t>
  </si>
  <si>
    <t>0598/PPA-VII/24</t>
  </si>
  <si>
    <t>010.008-24.06579652</t>
  </si>
  <si>
    <t>0599/PPA-VII/24</t>
  </si>
  <si>
    <t>010.008-24.06579653</t>
  </si>
  <si>
    <t>SCHUTZ KARAWANG</t>
  </si>
  <si>
    <t>0600/PPA-VII/24</t>
  </si>
  <si>
    <t>010.008-24.06579654</t>
  </si>
  <si>
    <t>0601/PPA-VIII/24</t>
  </si>
  <si>
    <t>010.009-24.11146991</t>
  </si>
  <si>
    <t>DESIGN &amp; BUILD RENTAL WARE HOUSE KIIC</t>
  </si>
  <si>
    <t>MOB &amp; DEMOB</t>
  </si>
  <si>
    <t>0602/PPA-VIII/24</t>
  </si>
  <si>
    <t>010.009-24.11146992</t>
  </si>
  <si>
    <t>0603/PPA-VIII/24</t>
  </si>
  <si>
    <t>010.009-24.11146993</t>
  </si>
  <si>
    <t>0604/PPA-VIII/24</t>
  </si>
  <si>
    <t>010.009-24.11146994</t>
  </si>
  <si>
    <t>0605/PPA-VIII/24</t>
  </si>
  <si>
    <t>010.009-24.11146995</t>
  </si>
  <si>
    <t>AIR BERSIH SPAM BUARAN</t>
  </si>
  <si>
    <t>SEWA 22 JAN 2024 SD 21 FEB 2024</t>
  </si>
  <si>
    <t>0606/PPA-VIII/24</t>
  </si>
  <si>
    <t>010.009-24.11146996</t>
  </si>
  <si>
    <t>SEWA 22 FEB 2024 SD 21 MAR 2024</t>
  </si>
  <si>
    <t>0607/PPA-VIII/24</t>
  </si>
  <si>
    <t>010.009-24.11146997</t>
  </si>
  <si>
    <t>SEWA 22 MAR 2024 SD 21 APR 2024</t>
  </si>
  <si>
    <t>0608/PPA-VIII/24</t>
  </si>
  <si>
    <t>010.009-24.11146998</t>
  </si>
  <si>
    <t>SEWA 22 APR 2024 SD 21 MEI 2024</t>
  </si>
  <si>
    <t>0609/PPA-VIII/24</t>
  </si>
  <si>
    <t>010.009-24.11146999</t>
  </si>
  <si>
    <t>SEWA 22 MEI 2024 SD 21 JUNI 2024</t>
  </si>
  <si>
    <t>0610/PPA-VIII/24</t>
  </si>
  <si>
    <t>010.009-24.11147000</t>
  </si>
  <si>
    <t>0611/PPA-VIII/24</t>
  </si>
  <si>
    <t>010.009-24.11147001</t>
  </si>
  <si>
    <t>SEWA 15 JAN 2024 SD 14 FEB 2024</t>
  </si>
  <si>
    <t>0612/PPA-VIII/24</t>
  </si>
  <si>
    <t>010.009-24.11147002</t>
  </si>
  <si>
    <t>PEPSICO</t>
  </si>
  <si>
    <t>0613/PPA-VIII/24</t>
  </si>
  <si>
    <t>010.009-24.11147003</t>
  </si>
  <si>
    <t>0614/PPA-VIII/24</t>
  </si>
  <si>
    <t>010.009-24.11147004</t>
  </si>
  <si>
    <t>0615/PPA-VIII/24</t>
  </si>
  <si>
    <t>010.009-24.11147005</t>
  </si>
  <si>
    <t>0616/PPA-VIII/24</t>
  </si>
  <si>
    <t>010.009-24.11147006</t>
  </si>
  <si>
    <t>0617/PPA-VIII/24</t>
  </si>
  <si>
    <t>010.009-24.11147007</t>
  </si>
  <si>
    <t>PURI INDAH(2)</t>
  </si>
  <si>
    <t>0618/PPA-VIII/24</t>
  </si>
  <si>
    <t>010.009-24.11147008</t>
  </si>
  <si>
    <t>0619/PPA-VIII/24</t>
  </si>
  <si>
    <t>010.009-24.11147009</t>
  </si>
  <si>
    <t>MAGGIORE JUNCTOIN</t>
  </si>
  <si>
    <t>0620/PPA-VIII/24</t>
  </si>
  <si>
    <t>010.009-24.11147010</t>
  </si>
  <si>
    <t>0621/PPA-VIII/24</t>
  </si>
  <si>
    <t>010.009-24.11147011</t>
  </si>
  <si>
    <t>REZ SEMARANG</t>
  </si>
  <si>
    <t>0622/PPA-VIII/24</t>
  </si>
  <si>
    <t>010.009-24.11147012</t>
  </si>
  <si>
    <t>0623/PPA-VIII/24</t>
  </si>
  <si>
    <t>010.009-24.11147013</t>
  </si>
  <si>
    <t>SEWA 1 APR 2024 SD 30 JUNI 2024</t>
  </si>
  <si>
    <t>0624/PPA-VIII/24</t>
  </si>
  <si>
    <t>010.009-24.11147014</t>
  </si>
  <si>
    <t>ARUMAYA PO 4200032349</t>
  </si>
  <si>
    <t>0625/PPA-VIII/24</t>
  </si>
  <si>
    <t>010.009-24.11147015</t>
  </si>
  <si>
    <t>RENOVASI MOYA</t>
  </si>
  <si>
    <t>SEWA 16 FEB 2024 SD 15 MAR 2024</t>
  </si>
  <si>
    <t>0626/PPA-VIII/24</t>
  </si>
  <si>
    <t>010.009-24.11147016</t>
  </si>
  <si>
    <t>SEWA 16 MAR 2024 SD 15 APR 2024</t>
  </si>
  <si>
    <t>0627/PPA-VIII/24</t>
  </si>
  <si>
    <t>010.009-24.11147017</t>
  </si>
  <si>
    <t>SEWA 16 APR 2024 SD 15 MEI 2024</t>
  </si>
  <si>
    <t>0628/PPA-VIII/24</t>
  </si>
  <si>
    <t>010.009-24.11147018</t>
  </si>
  <si>
    <t>SEWA 16 MEI 2024 SD 15 JUNI 2024</t>
  </si>
  <si>
    <t>0629/PPA-VIII/24</t>
  </si>
  <si>
    <t>010.009-24.11147019</t>
  </si>
  <si>
    <t>SEWA 16 JUNI 2024 SD 15 JULI 2024</t>
  </si>
  <si>
    <t>0630/PPA-VIII/24</t>
  </si>
  <si>
    <t>010.009-24.11147020</t>
  </si>
  <si>
    <t>0631/PPA-VIII/24</t>
  </si>
  <si>
    <t>010.009-24.11147021</t>
  </si>
  <si>
    <t>BDX PO 4200032432</t>
  </si>
  <si>
    <t>0632/PPA-VIII/24</t>
  </si>
  <si>
    <t>010.009-24.11147022</t>
  </si>
  <si>
    <t>GRAND WISATA-1 (PO 349)</t>
  </si>
  <si>
    <t>SEWA 24 JUL 2024 SD 23 AGST 2024</t>
  </si>
  <si>
    <t>0633/PPA-VIII/24</t>
  </si>
  <si>
    <t>010.009-24.11147023</t>
  </si>
  <si>
    <t>GRAND WISATA-2 (PO 354)</t>
  </si>
  <si>
    <t>SEWA 29 JUL 2024 SD 28 AGST 2024</t>
  </si>
  <si>
    <t>0634/PPA-VIII/24</t>
  </si>
  <si>
    <t>010.009-24.11147024</t>
  </si>
  <si>
    <t>GRAND WISATA-3 (PO 355)</t>
  </si>
  <si>
    <t>SEWA 8 JUL 2024 SD 7 AGST 2024</t>
  </si>
  <si>
    <t>0635/PPA-VIII/24</t>
  </si>
  <si>
    <t>010.009-24.11147025</t>
  </si>
  <si>
    <t>GRAND WISATA-4 (PO 362)</t>
  </si>
  <si>
    <t>SEWA 11 JUL 2024 SD 10 AGST 2024</t>
  </si>
  <si>
    <t>0636/PPA-VIII/24</t>
  </si>
  <si>
    <t>010.009-24.11147026</t>
  </si>
  <si>
    <t>GRAND WISATA-5 (PO 357)</t>
  </si>
  <si>
    <t>SEWA 18 JUL 2024 SD 17 AGST 2024</t>
  </si>
  <si>
    <t>0637/PPA-VIII/24</t>
  </si>
  <si>
    <t>010.009-24.11147027</t>
  </si>
  <si>
    <t>GRAND WISATA-6 (PO 356)</t>
  </si>
  <si>
    <t>SEWA 17 JUL 2024 SD 16 AGST 2024</t>
  </si>
  <si>
    <t>0638/PPA-VIII/24</t>
  </si>
  <si>
    <t>010.009-24.11147028</t>
  </si>
  <si>
    <t>GRAND WISATA-7 (PO 360)</t>
  </si>
  <si>
    <t>SEWA 21 JUN 2024 SD 20 JUL 2024</t>
  </si>
  <si>
    <t>0639/PPA-VIII/24</t>
  </si>
  <si>
    <t>010.009-24.11147029</t>
  </si>
  <si>
    <t>GRAND WISATA-7 (PO 363)</t>
  </si>
  <si>
    <t>SEWA 21 JUL 2024 SD 20 AGST 2024</t>
  </si>
  <si>
    <t>0640/PPA-VIII/24</t>
  </si>
  <si>
    <t>010.009-24.11147030</t>
  </si>
  <si>
    <t>GRAND WISATA-8 (PO 358)</t>
  </si>
  <si>
    <t>0641/PPA-VIII/24</t>
  </si>
  <si>
    <t>010.009-24.11147031</t>
  </si>
  <si>
    <t>GRAND WISATA-9 (PO 359)</t>
  </si>
  <si>
    <t>SEWA 13 JUL 2024 SD 12 AGST 2024</t>
  </si>
  <si>
    <t>0642/PPA-VIII/24</t>
  </si>
  <si>
    <t>010.009-24.11147032</t>
  </si>
  <si>
    <t>GRAND WISATA-10 (PO 361)</t>
  </si>
  <si>
    <t>0001/PPA-I/23</t>
  </si>
  <si>
    <t>010.003-23.87649219</t>
  </si>
  <si>
    <t>Wika Pracetak Gedung</t>
  </si>
  <si>
    <t>Tenjo</t>
  </si>
  <si>
    <t>Sewa 5 Sept 2022 sd 4 Okt 2022</t>
  </si>
  <si>
    <t>0002/PPA-I/23</t>
  </si>
  <si>
    <t>010.003-23.87649220</t>
  </si>
  <si>
    <t>Sewa 5 Okt 2022 sd 4 Nov 2022</t>
  </si>
  <si>
    <t>0033/PPA-I/23</t>
  </si>
  <si>
    <t>010.003-23.87649251</t>
  </si>
  <si>
    <t>Nusa Raya Cipta</t>
  </si>
  <si>
    <t>Pakuwon</t>
  </si>
  <si>
    <t>Demobilisasi</t>
  </si>
  <si>
    <t>0078/PPA-II/23</t>
  </si>
  <si>
    <t>010.003-23.87649296</t>
  </si>
  <si>
    <t xml:space="preserve">Hotel Aston </t>
  </si>
  <si>
    <t>Sewa 1 Jan 2023 sd 31 Jan 2023</t>
  </si>
  <si>
    <t>0096/PPA-II/23</t>
  </si>
  <si>
    <t>010.003-23.87649314</t>
  </si>
  <si>
    <t>Wika Gedung</t>
  </si>
  <si>
    <t>TransMart 011</t>
  </si>
  <si>
    <t>Sewa 16 Des 2022 sd 15 Jan 2023</t>
  </si>
  <si>
    <t>0257/PPA-IV/23</t>
  </si>
  <si>
    <t>010.007-23.88929350</t>
  </si>
  <si>
    <t>Transmart Bogor 005</t>
  </si>
  <si>
    <t>Sewa 22 Jan 2023 sd 21 Feb 2023</t>
  </si>
  <si>
    <t>0258/PPA-IV/23</t>
  </si>
  <si>
    <t>010.007-23.88929351</t>
  </si>
  <si>
    <t>Transmart Bogor 011</t>
  </si>
  <si>
    <t>Sewa 16 Jan 2023 sd 15 Feb 2023</t>
  </si>
  <si>
    <t>0259/PPA-IV/23</t>
  </si>
  <si>
    <t>010.007-23.88929352</t>
  </si>
  <si>
    <t>Claim Alat</t>
  </si>
  <si>
    <t>0315/PPA-IV/23</t>
  </si>
  <si>
    <t>010.007-23.88929408</t>
  </si>
  <si>
    <t>WIKA PRACETAK GEDUNG</t>
  </si>
  <si>
    <t>Tenjo Bogor</t>
  </si>
  <si>
    <t>Demobilisasi 19/9/22</t>
  </si>
  <si>
    <t>0316/PPA-IV/23</t>
  </si>
  <si>
    <t>010.007-23.88929409</t>
  </si>
  <si>
    <t>Sewa 5 Nov 2022 sd 4 Des 2022</t>
  </si>
  <si>
    <t>0317/PPA-IV/23</t>
  </si>
  <si>
    <t>010.007-23.88929410</t>
  </si>
  <si>
    <t>Sewa 5 Des 2022 sd 4 Jan 2023</t>
  </si>
  <si>
    <t>0318/PPA-IV/23</t>
  </si>
  <si>
    <t>010.007-23.88929411</t>
  </si>
  <si>
    <t>Sewa 5 Jan 2023 sd 4 Feb 2023</t>
  </si>
  <si>
    <t>0360/PPA-V/23</t>
  </si>
  <si>
    <t>010.007-23.88929453</t>
  </si>
  <si>
    <t>Innotech Systems</t>
  </si>
  <si>
    <t>Ruko Klender</t>
  </si>
  <si>
    <t>Sewa 15 Feb 2023 sd 14 Mar 2023</t>
  </si>
  <si>
    <t>0515/PPA-VI/23</t>
  </si>
  <si>
    <t>010.009-23.27459559</t>
  </si>
  <si>
    <t>Bank Indonesia (BI 24)</t>
  </si>
  <si>
    <t>Sewa 27 Mei 2023 sd 26 Juni 2023</t>
  </si>
  <si>
    <t>0516/PPA-VI/23</t>
  </si>
  <si>
    <t>010.009-23.27459560</t>
  </si>
  <si>
    <t>Bank Indonesia (BI 33)</t>
  </si>
  <si>
    <t>Sewa 25 Mei 2023 sd 24 Juni 2023</t>
  </si>
  <si>
    <t>0565/PPA-VII/23</t>
  </si>
  <si>
    <t>010.009-23.27459609</t>
  </si>
  <si>
    <t>Bmkg 035</t>
  </si>
  <si>
    <t>Sewa 30 Juni 2023 sd 29 Juni 2023</t>
  </si>
  <si>
    <t>0566/PPA-VII/23</t>
  </si>
  <si>
    <t>010.009-23.27459610</t>
  </si>
  <si>
    <t>Bmkg 036</t>
  </si>
  <si>
    <t>Sewa 1 Juni 2023 sd 30 Juni 2023</t>
  </si>
  <si>
    <t>0567/PPA-VII/23</t>
  </si>
  <si>
    <t>010.009-23.27459611</t>
  </si>
  <si>
    <t>Bmkg 039</t>
  </si>
  <si>
    <t>Sewa 10 Juni 2023 sd 9 Juli 2023</t>
  </si>
  <si>
    <t>14-Agst-2023</t>
  </si>
  <si>
    <t>0611/PPA-VIII/23</t>
  </si>
  <si>
    <t>010.010-23.68105229</t>
  </si>
  <si>
    <t>Jo.Total Shimizhu</t>
  </si>
  <si>
    <t>Adr Shimizhu</t>
  </si>
  <si>
    <t>Penjualan</t>
  </si>
  <si>
    <t>18-Agst-2023</t>
  </si>
  <si>
    <t>0619/PPA-VIII/23</t>
  </si>
  <si>
    <t>010.010-23.68105237</t>
  </si>
  <si>
    <t>Bank Indonesia (BI)Gabung Semua PO</t>
  </si>
  <si>
    <t>Sewa sd 26 Juli 2023</t>
  </si>
  <si>
    <t>29-Agst-2023</t>
  </si>
  <si>
    <t>0638/PPA-VIII/23</t>
  </si>
  <si>
    <t>010.010-23.68105256</t>
  </si>
  <si>
    <t>0656/PPA-IX/23</t>
  </si>
  <si>
    <t>010.010-23.68105274</t>
  </si>
  <si>
    <t>Interdesign Cipta Optima</t>
  </si>
  <si>
    <t>Trans Makasar</t>
  </si>
  <si>
    <t>Sewa 1 Agst 2023 sd 31 Agst 2023</t>
  </si>
  <si>
    <t>0661/PPA-IX/23</t>
  </si>
  <si>
    <t>010.010-23.68105279</t>
  </si>
  <si>
    <t>Total Bangun Persada</t>
  </si>
  <si>
    <t>Rez Semarang</t>
  </si>
  <si>
    <t>Sewa 1 Mei 2023 sd 31 Mei 2023</t>
  </si>
  <si>
    <t>0662/PPA-IX/23</t>
  </si>
  <si>
    <t>010.010-23.68105280</t>
  </si>
  <si>
    <t>0666/PPA-IX/23</t>
  </si>
  <si>
    <t>010.010-23.68105284</t>
  </si>
  <si>
    <t>Bmkg (039)</t>
  </si>
  <si>
    <t>Sewa 10 Jul 2023 sd 9 Agst 2023</t>
  </si>
  <si>
    <t>0684/PPA-IX/23</t>
  </si>
  <si>
    <t>010.010-23.68105302</t>
  </si>
  <si>
    <t>Jagat Konstruksi Abdi Persada</t>
  </si>
  <si>
    <t>Sumarecon Bandung A1106</t>
  </si>
  <si>
    <t>Sewa 25 Mei 2023 24 Juni 2023</t>
  </si>
  <si>
    <t>0692/PPA-IX/23</t>
  </si>
  <si>
    <t>010.010-23.68105310</t>
  </si>
  <si>
    <t>Nava Park</t>
  </si>
  <si>
    <t>Sewa 18 Agst 2023 sd 31 Agst 2023</t>
  </si>
  <si>
    <t>0699/PPA-IX/23</t>
  </si>
  <si>
    <t>010.010-23.68105317</t>
  </si>
  <si>
    <t>Bank Indonesia (BI)</t>
  </si>
  <si>
    <t>Sewa Agustus 2023</t>
  </si>
  <si>
    <t>0700/PPA-IX/23</t>
  </si>
  <si>
    <t>010.010-23.68105318</t>
  </si>
  <si>
    <t>Indokemas</t>
  </si>
  <si>
    <t>0703/PPA-IX/23</t>
  </si>
  <si>
    <t>010.010-23.68105321</t>
  </si>
  <si>
    <t>0712/PPA-X/23</t>
  </si>
  <si>
    <t>010.010-23.68105330</t>
  </si>
  <si>
    <t>Cartenz</t>
  </si>
  <si>
    <t>Sewa 1 Sept 2023 sd 30 Sept 2023</t>
  </si>
  <si>
    <t>0730/PPA-X/23</t>
  </si>
  <si>
    <t>010.010-23.68105348</t>
  </si>
  <si>
    <t>Jagat Konstruksi AbdiPersada</t>
  </si>
  <si>
    <t>Reservoir Stadion Persita</t>
  </si>
  <si>
    <t>0744/PPA-X/23</t>
  </si>
  <si>
    <t>010.010-23.68105362</t>
  </si>
  <si>
    <t xml:space="preserve">Pltu Sumbangsel Pusat </t>
  </si>
  <si>
    <t>Sewa 1 Apr 2023 sd 31 Agst 2023</t>
  </si>
  <si>
    <t>0745/PPA-X/23</t>
  </si>
  <si>
    <t>010.010-23.68105363</t>
  </si>
  <si>
    <t>0746/PPA-X/23</t>
  </si>
  <si>
    <t>010.010-23.68105364</t>
  </si>
  <si>
    <t>Sewa 1 Jun 2023 sd 30 Jun 2023</t>
  </si>
  <si>
    <t>0747/PPA-X/23</t>
  </si>
  <si>
    <t>010.010-23.68105365</t>
  </si>
  <si>
    <t>0367/PPA-V/23</t>
  </si>
  <si>
    <t>010.007-23.88929460</t>
  </si>
  <si>
    <t>Sewa 1 Apr 2023 sd 30 Apr 2023</t>
  </si>
  <si>
    <t>0481/PPA-VI/23</t>
  </si>
  <si>
    <t>010.009-23.27459525</t>
  </si>
  <si>
    <t>Interdesign Cipta optima</t>
  </si>
  <si>
    <t>0610/PPA-VIII/23</t>
  </si>
  <si>
    <t>010.010-23.68105228</t>
  </si>
  <si>
    <t>Pak Leo</t>
  </si>
  <si>
    <t>Sewa 5 Juli 2023 sd 31 Juli 2023</t>
  </si>
  <si>
    <t>0752/PPA-X/23</t>
  </si>
  <si>
    <t>010.010-23.68105370</t>
  </si>
  <si>
    <t>Sumarecon</t>
  </si>
  <si>
    <t>Mobilisasi</t>
  </si>
  <si>
    <t>0759/PPA-X/23</t>
  </si>
  <si>
    <t>010.010-23.68105377</t>
  </si>
  <si>
    <t>Acset Indonusa</t>
  </si>
  <si>
    <t>Sierra School</t>
  </si>
  <si>
    <t>Sewa 21 Agst 2023 sd 31 Agst 2023</t>
  </si>
  <si>
    <t>0760/PPA-X/23</t>
  </si>
  <si>
    <t>010.010-23.68105378</t>
  </si>
  <si>
    <t>Sewa 30 Jun 2023 sd 29 Jul 2023</t>
  </si>
  <si>
    <t>0761/PPA-X/23</t>
  </si>
  <si>
    <t>010.010-23.68105379</t>
  </si>
  <si>
    <t>Sewa 30 Jul 2023 sd 29 Agst 2023</t>
  </si>
  <si>
    <t>0762/PPA-X/23</t>
  </si>
  <si>
    <t>010.010-23.68105380</t>
  </si>
  <si>
    <t>Sewa 30 Agst 2023 sd 29 Sept 2023</t>
  </si>
  <si>
    <t>0763/PPA-X/23</t>
  </si>
  <si>
    <t>010.010-23.68105381</t>
  </si>
  <si>
    <t>Sewa 30 Sept 2023 sd 04 Okt 2023</t>
  </si>
  <si>
    <t>0764/PPA-X/23</t>
  </si>
  <si>
    <t>010.010-23.68105382</t>
  </si>
  <si>
    <t>Sewa 1 Jul 2023 sd 31 Jul 2023</t>
  </si>
  <si>
    <t>0765/PPA-X/23</t>
  </si>
  <si>
    <t>010.010-23.68105383</t>
  </si>
  <si>
    <t>Sewa 1 Agst 2023 sd 28 Agst 2023</t>
  </si>
  <si>
    <t>0766/PPA-X/23</t>
  </si>
  <si>
    <t>010.010-23.68105384</t>
  </si>
  <si>
    <t>Sewa 10 Agst 2023 sd 09 Sept 2023</t>
  </si>
  <si>
    <t>0767/PPA-X/23</t>
  </si>
  <si>
    <t>010.010-23.68105385</t>
  </si>
  <si>
    <t>Sewa 10 Sept 2023 sd 04 Okt 2023</t>
  </si>
  <si>
    <t>0789/PPA-XI/23</t>
  </si>
  <si>
    <t>010.010-23.68105407</t>
  </si>
  <si>
    <t>Hartam Karya Mandiri</t>
  </si>
  <si>
    <t>Pondok indah</t>
  </si>
  <si>
    <t>Sewa 1 Okt 2023 sd 31 Okt 2023</t>
  </si>
  <si>
    <t>0790/PPA-XI/23</t>
  </si>
  <si>
    <t>010.010-23.68105408</t>
  </si>
  <si>
    <t>Arm</t>
  </si>
  <si>
    <t>0791/PPA-XI/23</t>
  </si>
  <si>
    <t>010.010-23.68105409</t>
  </si>
  <si>
    <t>Gajah Tunggal</t>
  </si>
  <si>
    <t>Sewa 9 Okt 2023 sd 31 Okt 2023</t>
  </si>
  <si>
    <t>0753/PPA-X/23</t>
  </si>
  <si>
    <t>010.010-23.68105371</t>
  </si>
  <si>
    <t>0792/PPA-XI/23</t>
  </si>
  <si>
    <t>010.010-23.68105410</t>
  </si>
  <si>
    <t>0793/PPA-XI/23</t>
  </si>
  <si>
    <t>010.010-23.68105411</t>
  </si>
  <si>
    <t>Idea Mandiri</t>
  </si>
  <si>
    <t>Rancamaya</t>
  </si>
  <si>
    <t>0467/PPA-VI/23</t>
  </si>
  <si>
    <t>010.009-23.27459511</t>
  </si>
  <si>
    <t>Ahm 8221</t>
  </si>
  <si>
    <t>Sewa 1 Mar 2023 sd 31 Mar 2023</t>
  </si>
  <si>
    <t>PPH 2023</t>
  </si>
  <si>
    <t>0779/PPA-X/23</t>
  </si>
  <si>
    <t>010.010-23.68105397</t>
  </si>
  <si>
    <t>Elevee</t>
  </si>
  <si>
    <t>0795/PPA-XI/23</t>
  </si>
  <si>
    <t>010.010-23.68105413</t>
  </si>
  <si>
    <t>Genova 1228/9497</t>
  </si>
  <si>
    <t>0794/PPA-XI/23</t>
  </si>
  <si>
    <t>010.010-23.68105412</t>
  </si>
  <si>
    <t>Genova 1227/9485</t>
  </si>
  <si>
    <t>Sewa 1 Des 2022 sd 31 Des 2022</t>
  </si>
  <si>
    <t>0796/PPA-XI/23</t>
  </si>
  <si>
    <t>010.010-23.68105414</t>
  </si>
  <si>
    <t>Genova 1229/9486</t>
  </si>
  <si>
    <t>Sewa 1 Feb 2023 sd 28 Feb 2023</t>
  </si>
  <si>
    <t>0797/PPA-XI/23</t>
  </si>
  <si>
    <t>010.010-23.68105415</t>
  </si>
  <si>
    <t>Genova 1230/9487</t>
  </si>
  <si>
    <t>0798/PPA-XI/23</t>
  </si>
  <si>
    <t>010.010-23.68105416</t>
  </si>
  <si>
    <t>Genova 1231/9488</t>
  </si>
  <si>
    <t>0799/PPA-XI/23</t>
  </si>
  <si>
    <t>010.010-23.68105417</t>
  </si>
  <si>
    <t>Living Grand Wisata</t>
  </si>
  <si>
    <t>0806/PPA-XI/23</t>
  </si>
  <si>
    <t>010-012-23.37376691</t>
  </si>
  <si>
    <t>Jagat Konstruksi Abdipersada</t>
  </si>
  <si>
    <t>Cijayanti Park</t>
  </si>
  <si>
    <t>Sewa 24 Jul 2023 sd 23 Agst 2023</t>
  </si>
  <si>
    <t>0809/PPA-XI/23</t>
  </si>
  <si>
    <t>010-012-23.37376694</t>
  </si>
  <si>
    <t>Adm 8856/3127</t>
  </si>
  <si>
    <t>Sewa 21 Jun 2023 sd 30 Jun 2023</t>
  </si>
  <si>
    <t>0810/PPA-XI/23</t>
  </si>
  <si>
    <t>010-012-23.37376695</t>
  </si>
  <si>
    <t>Adm 9036/3236</t>
  </si>
  <si>
    <t>Sewa 22 Jul 2023 sd 31 Jul 2023</t>
  </si>
  <si>
    <t>0811/PPA-XI/23</t>
  </si>
  <si>
    <t>010-012-23.37376696</t>
  </si>
  <si>
    <t>Adm 8898/3183</t>
  </si>
  <si>
    <t>0812/PPA-XI/23</t>
  </si>
  <si>
    <t>010-012-23.37376697</t>
  </si>
  <si>
    <t>Adm 9079/3238</t>
  </si>
  <si>
    <t>Sewa 2 Agst 2023 sd 31 Agst 2023</t>
  </si>
  <si>
    <t>0813/PPA-XI/23</t>
  </si>
  <si>
    <t>010-012-23.37376698</t>
  </si>
  <si>
    <t>Adm 9102/3240</t>
  </si>
  <si>
    <t>Sewa 3 Agst 2023 sd 31 Agst 2023</t>
  </si>
  <si>
    <t>0814/PPA-XI/23</t>
  </si>
  <si>
    <t>010-012-23.37376699</t>
  </si>
  <si>
    <t>Adm 9154/3243</t>
  </si>
  <si>
    <t>Sewa 11 Agst 2023 sd 31 Agst 2023</t>
  </si>
  <si>
    <t>0815/PPA-XI/23</t>
  </si>
  <si>
    <t>010-012-23.37376700</t>
  </si>
  <si>
    <t>Adm 9177/3244</t>
  </si>
  <si>
    <t>Sewa 14 Agst 2023 sd 31 Agst 2023</t>
  </si>
  <si>
    <t>0816/PPA-XI/23</t>
  </si>
  <si>
    <t>010-012-23.37376701</t>
  </si>
  <si>
    <t>Adm 9232/3245</t>
  </si>
  <si>
    <t>Sewa 25 Agst 2023 sd 31 Agst 2023</t>
  </si>
  <si>
    <t>0818/PPA-XI/23</t>
  </si>
  <si>
    <t>010-012-23.37376703</t>
  </si>
  <si>
    <t>Ahm</t>
  </si>
  <si>
    <t>0819/PPA-XI/23</t>
  </si>
  <si>
    <t>010-012-23.37376704</t>
  </si>
  <si>
    <t>Sewa 15 Agst 2023 sd 14 Sept 2023</t>
  </si>
  <si>
    <t>0820/PPA-XI/23</t>
  </si>
  <si>
    <t>010-012-23.37376705</t>
  </si>
  <si>
    <t>B Residence</t>
  </si>
  <si>
    <t>Sewa 14 Agst 2023 sd 13 Sept 2023</t>
  </si>
  <si>
    <t>0821/PPA-XI/23</t>
  </si>
  <si>
    <t>010-012-23.37376706</t>
  </si>
  <si>
    <t>The Barn</t>
  </si>
  <si>
    <t>0822/PPA-XI/23</t>
  </si>
  <si>
    <t>080-012-23.37376707</t>
  </si>
  <si>
    <t>Total Persada Indonesia</t>
  </si>
  <si>
    <t>Simatelex</t>
  </si>
  <si>
    <t>0823/PPA-XI/23</t>
  </si>
  <si>
    <t>080-012-23.37376708</t>
  </si>
  <si>
    <t>0824/PPA-XI/23</t>
  </si>
  <si>
    <t>080-012-23.37376709</t>
  </si>
  <si>
    <t>Sewa 1 Juli 2023 sd 31 Jul 2023</t>
  </si>
  <si>
    <t>0831/PPA-XI/23</t>
  </si>
  <si>
    <t>010-012-23.37376716</t>
  </si>
  <si>
    <t>Reckit  Hazardous Waste</t>
  </si>
  <si>
    <t>Sewa 6 Okt 2023 sd 25 Okt 2023</t>
  </si>
  <si>
    <t>0832/PPA-XI/23</t>
  </si>
  <si>
    <t>010-012-23.37376717</t>
  </si>
  <si>
    <t>Sekolah Cikal</t>
  </si>
  <si>
    <t>Sewa 7 Des 2023 sd 31 Jul 2023</t>
  </si>
  <si>
    <t>0834/PPA-XI/23</t>
  </si>
  <si>
    <t>010-012-23.37376719</t>
  </si>
  <si>
    <t>Pltu sumbangsel (Pusat)</t>
  </si>
  <si>
    <t>0835/PPA-XI/23</t>
  </si>
  <si>
    <t>010-012-23.37376720</t>
  </si>
  <si>
    <t>0836/PPA-XI/23</t>
  </si>
  <si>
    <t>010-012-23.37376721</t>
  </si>
  <si>
    <t>Amman Jel</t>
  </si>
  <si>
    <t>0838/PPA-XI/23</t>
  </si>
  <si>
    <t>010-012-23.37376723</t>
  </si>
  <si>
    <t>Royal tulip</t>
  </si>
  <si>
    <t>Sewa 10 Sept 2023 sd 9 Okt 2023</t>
  </si>
  <si>
    <t>0839/PPA-XI/23</t>
  </si>
  <si>
    <t>010-012-23.37376724</t>
  </si>
  <si>
    <t>Sewa 10 Okt 2023 sd 16 Okt 2023</t>
  </si>
  <si>
    <t>0840/PPA-XI/23</t>
  </si>
  <si>
    <t>010-012-23.37376725</t>
  </si>
  <si>
    <t>0841/PPA-XI/23</t>
  </si>
  <si>
    <t>010-012-23.37376726</t>
  </si>
  <si>
    <t>Sumarecon A1106</t>
  </si>
  <si>
    <t>Sewa 25 Jun 2023 sd 24 Jul 2023</t>
  </si>
  <si>
    <t>0842/PPA-XI/23</t>
  </si>
  <si>
    <t>010-012-23.37376727</t>
  </si>
  <si>
    <t>Sewa 25 Jul 2023 sd 24 Agst 2023</t>
  </si>
  <si>
    <t>0728/PPA-X/23</t>
  </si>
  <si>
    <t>010.010-23.68105346</t>
  </si>
  <si>
    <t>0729/PPA-X/23</t>
  </si>
  <si>
    <t>010.010-23.68105347</t>
  </si>
  <si>
    <t>0731/PPA-X/23</t>
  </si>
  <si>
    <t>010.010-23.68105349</t>
  </si>
  <si>
    <t>0843/PPA-XI/23</t>
  </si>
  <si>
    <t>010-012-23.37376728</t>
  </si>
  <si>
    <t>Air Bersih Spam Buaran</t>
  </si>
  <si>
    <t>Sewa 22 Jul 2023 sd 21 Agst 2023</t>
  </si>
  <si>
    <t>0844/PPA-XI/23</t>
  </si>
  <si>
    <t>010-012-23.37376729</t>
  </si>
  <si>
    <t>Sewa 22 Agst 2023 sd 21 Sept 2023</t>
  </si>
  <si>
    <t>0845/PPA-XI/23</t>
  </si>
  <si>
    <t>010-012-23.37376730</t>
  </si>
  <si>
    <t>Sewa 22 Sept 2023 sd 21 Okt 2023</t>
  </si>
  <si>
    <t>0847/PPA-XI/23</t>
  </si>
  <si>
    <t>010-012-23.37376732</t>
  </si>
  <si>
    <t>Antasari A1104-341</t>
  </si>
  <si>
    <t>0849/PPA-XI/23</t>
  </si>
  <si>
    <t>010-012-23.37376734</t>
  </si>
  <si>
    <t>0846/PPA-XI/23</t>
  </si>
  <si>
    <t>010-012-23.37376731</t>
  </si>
  <si>
    <t>Sewa 7 Jan 2023 sd 6 Feb 2023</t>
  </si>
  <si>
    <t>0848/PPA-XI/23</t>
  </si>
  <si>
    <t>010-012-23.37376733</t>
  </si>
  <si>
    <t>Sewa 7 Feb 2023 sd 6 Mar 2023</t>
  </si>
  <si>
    <t>0850/PPA-XI/23</t>
  </si>
  <si>
    <t>010-012-23.37376735</t>
  </si>
  <si>
    <t>Sewa 7 Mar 2023 sd 6 Apr 2023</t>
  </si>
  <si>
    <t>0851/PPA-XI/23</t>
  </si>
  <si>
    <t>010-012-23.37376736</t>
  </si>
  <si>
    <t>Sewa 7 Apr 2023 sd 6 Mei 2023</t>
  </si>
  <si>
    <t>0852/PPA-XI/23</t>
  </si>
  <si>
    <t>010-012-23.37376737</t>
  </si>
  <si>
    <t>Sewa 7 Mei 2023 sd 6 Juni 2023</t>
  </si>
  <si>
    <t>0853/PPA-XI/23</t>
  </si>
  <si>
    <t>010-012-23.37376738</t>
  </si>
  <si>
    <t>Sewa 7 Jun 2023 sd 6 Jul 2023</t>
  </si>
  <si>
    <t>0854/PPA-XI/23</t>
  </si>
  <si>
    <t>010-012-23.37376739</t>
  </si>
  <si>
    <t>Sewa 7 Jul 2023 sd 6 Agst 2023</t>
  </si>
  <si>
    <t>0855/PPA-XI/23</t>
  </si>
  <si>
    <t>010-012-23.37376740</t>
  </si>
  <si>
    <t>Sewa 7 Agst 2023 sd 6 Sept 2023</t>
  </si>
  <si>
    <t>0857/PPA-XI/23</t>
  </si>
  <si>
    <t>010-012-23.37376742</t>
  </si>
  <si>
    <t>Cshq</t>
  </si>
  <si>
    <t>19-Agst-2023</t>
  </si>
  <si>
    <t>0622/PPA-VIII/23</t>
  </si>
  <si>
    <t>011.010-23.68105240</t>
  </si>
  <si>
    <t>0858/PPA-XI/23</t>
  </si>
  <si>
    <t>011-012-23.37376743</t>
  </si>
  <si>
    <t>Adr Shimizhu (2)</t>
  </si>
  <si>
    <t>0859/PPA-XI/23</t>
  </si>
  <si>
    <t>010-012-23.37376744</t>
  </si>
  <si>
    <t>Sumbangsel Pusat</t>
  </si>
  <si>
    <t>0861/PPA-XI/23</t>
  </si>
  <si>
    <t>010-012-23.37376746</t>
  </si>
  <si>
    <t>Dasa Prakarsa Sejati</t>
  </si>
  <si>
    <t>Renovasi Kantor</t>
  </si>
  <si>
    <t>Sewa 1 Okt 2023 sd 12 Okt 2023</t>
  </si>
  <si>
    <t>0880/PPA-XI/23</t>
  </si>
  <si>
    <t>010-012-23.37376765</t>
  </si>
  <si>
    <t>0881/PPA-XI/23</t>
  </si>
  <si>
    <t>010-012-23.37376766</t>
  </si>
  <si>
    <t>Karmelindo Sarana Utama</t>
  </si>
  <si>
    <t>Thamrin Nine</t>
  </si>
  <si>
    <t>0882/PPA-XI/23</t>
  </si>
  <si>
    <t>010-012-23.37376767</t>
  </si>
  <si>
    <t>0778/PPA-X/23</t>
  </si>
  <si>
    <t>010.010-23.68105396</t>
  </si>
  <si>
    <t>Bca Data Center</t>
  </si>
  <si>
    <t>0833/PPA-XI/23</t>
  </si>
  <si>
    <t>010-012-23.37376718</t>
  </si>
  <si>
    <t>Komplek Alsut</t>
  </si>
  <si>
    <t>0884/PPA-XI/23</t>
  </si>
  <si>
    <t>010-012-23.37376769</t>
  </si>
  <si>
    <t>0885/PPA-XI/23</t>
  </si>
  <si>
    <t>010-012-23.37376770</t>
  </si>
  <si>
    <t>Gelora Bangun Lestari</t>
  </si>
  <si>
    <t>Al-Azhar</t>
  </si>
  <si>
    <t>Sewa 28 Okt 2023 sd 27 Nov 2023</t>
  </si>
  <si>
    <t>0886/PPA-XI/23</t>
  </si>
  <si>
    <t>010-012-23.37376771</t>
  </si>
  <si>
    <t>Moslem Center</t>
  </si>
  <si>
    <t>0887/PPA-XI/23</t>
  </si>
  <si>
    <t>010-012-23.37376772</t>
  </si>
  <si>
    <t>Nusa Konstruksi Enjiniring</t>
  </si>
  <si>
    <t>Pembangunan Canal</t>
  </si>
  <si>
    <t>0888/PPA-XI/23</t>
  </si>
  <si>
    <t>010-012-23.37376773</t>
  </si>
  <si>
    <t>0889/PPA-XI/23</t>
  </si>
  <si>
    <t>010-012-23.37376774</t>
  </si>
  <si>
    <t>Indonakano</t>
  </si>
  <si>
    <t>Ebara</t>
  </si>
  <si>
    <t>Sewa 1 Nov 2023 sd 30 Nov 2023</t>
  </si>
  <si>
    <t>0890/PPA-XI/23</t>
  </si>
  <si>
    <t>010-012-23.37376775</t>
  </si>
  <si>
    <t>Sanko</t>
  </si>
  <si>
    <t>0891/PPA-XI/23</t>
  </si>
  <si>
    <t>010-012-23.37376776</t>
  </si>
  <si>
    <t>Oaj</t>
  </si>
  <si>
    <t>0892/PPA-XI/23</t>
  </si>
  <si>
    <t>010-012-23.37376777</t>
  </si>
  <si>
    <t>Esr 3</t>
  </si>
  <si>
    <t>0893/PPA-XI/23</t>
  </si>
  <si>
    <t>010-012-23.37376778</t>
  </si>
  <si>
    <t>Giic/Narumi</t>
  </si>
  <si>
    <t>0894/PPA-XI/23</t>
  </si>
  <si>
    <t>010-012-23.37376779</t>
  </si>
  <si>
    <t>Smii</t>
  </si>
  <si>
    <t>0895/PPA-XII/23</t>
  </si>
  <si>
    <t>010-012-23.37376780</t>
  </si>
  <si>
    <t>Pondok Indah</t>
  </si>
  <si>
    <t>0896/PPA-XII/23</t>
  </si>
  <si>
    <t>010-012-23.37376781</t>
  </si>
  <si>
    <t>0897/PPA-XII/23</t>
  </si>
  <si>
    <t>010-012-23.37376782</t>
  </si>
  <si>
    <t>0898/PPA-XII/23</t>
  </si>
  <si>
    <t>010-012-23.37376783</t>
  </si>
  <si>
    <t>0899/PPA-XII/23</t>
  </si>
  <si>
    <t>010-012-23.37376784</t>
  </si>
  <si>
    <t>0901/PPA-XII/23</t>
  </si>
  <si>
    <t>010-012-23.37376786</t>
  </si>
  <si>
    <t>Kajima Indonesia</t>
  </si>
  <si>
    <t>Calypso</t>
  </si>
  <si>
    <t>0768/PPA-X/23</t>
  </si>
  <si>
    <t>010.010-23.68105386</t>
  </si>
  <si>
    <t>Sumbangsel Proyek</t>
  </si>
  <si>
    <t>0903/PPA-XII/23</t>
  </si>
  <si>
    <t>010-012-23.37376788</t>
  </si>
  <si>
    <t>0904/PPA-XII/23</t>
  </si>
  <si>
    <t>010-012-23.37376789</t>
  </si>
  <si>
    <t>0900/PPA-XII/23</t>
  </si>
  <si>
    <t>010-012-23.37376785</t>
  </si>
  <si>
    <t>0905/PPA-XII/23</t>
  </si>
  <si>
    <t>010-012-23.37376790</t>
  </si>
  <si>
    <t>Gudang Jatake</t>
  </si>
  <si>
    <t>0906/PPA-XII/23</t>
  </si>
  <si>
    <t>010-012-23.37376791</t>
  </si>
  <si>
    <t>Sewa 28 Nov 2023 sd 30 Nov 2023</t>
  </si>
  <si>
    <t>0910/PPA-XII/23</t>
  </si>
  <si>
    <t>010-012-23.37376795</t>
  </si>
  <si>
    <t>Ahm 8404</t>
  </si>
  <si>
    <t>Sewa Scaffolding Juli 2023</t>
  </si>
  <si>
    <t>0911/PPA-XII/23</t>
  </si>
  <si>
    <t>010-012-23.37376796</t>
  </si>
  <si>
    <t>Ahm 5248</t>
  </si>
  <si>
    <t>Sewa Scaffolding Agst 2023</t>
  </si>
  <si>
    <t>0912/PPA-XII/23</t>
  </si>
  <si>
    <t>010-012-23.37376797</t>
  </si>
  <si>
    <t>Ahm 6468</t>
  </si>
  <si>
    <t>Sewa Scaffolding Sept 2023</t>
  </si>
  <si>
    <t>0913/PPA-XII/23</t>
  </si>
  <si>
    <t>010-012-23.37376798</t>
  </si>
  <si>
    <t>Ahm 6469</t>
  </si>
  <si>
    <t>0914/PPA-XII/23</t>
  </si>
  <si>
    <t>011-012-23.37376799</t>
  </si>
  <si>
    <t>Rs Mulya Medika</t>
  </si>
  <si>
    <t>0915/PPA-XII/23</t>
  </si>
  <si>
    <t>010-012-23.37376800</t>
  </si>
  <si>
    <t>Puri Indah (1)</t>
  </si>
  <si>
    <t>0916/PPA-XII/23</t>
  </si>
  <si>
    <t>010-012-23.37376801</t>
  </si>
  <si>
    <t>Tarakan (078)</t>
  </si>
  <si>
    <t>Sewa 27 Sept 2023 sd 26 Okt 2023</t>
  </si>
  <si>
    <t>0917/PPA-XII/23</t>
  </si>
  <si>
    <t>010-012-23.37376802</t>
  </si>
  <si>
    <t>Tarakan (081)</t>
  </si>
  <si>
    <t>Sewa 29 Sept 2023 sd 28 Okt 2023</t>
  </si>
  <si>
    <t>0918/PPA-XII/23</t>
  </si>
  <si>
    <t>010-012-23.37376803</t>
  </si>
  <si>
    <t>Tarakan (085)</t>
  </si>
  <si>
    <t>Sewa 21 Okt 2023 sd 20 Nov 2023</t>
  </si>
  <si>
    <t>0919/PPA-XII/23</t>
  </si>
  <si>
    <t>010-012-23.37376804</t>
  </si>
  <si>
    <t>Puri Indah (2)</t>
  </si>
  <si>
    <t>Sewa 28 Agst 2023 sd 31 Agst 2023</t>
  </si>
  <si>
    <t>0920/PPA-XII/23</t>
  </si>
  <si>
    <t>010-012-23.37376805</t>
  </si>
  <si>
    <t>0921/PPA-XII/23</t>
  </si>
  <si>
    <t>010-012-23.37376806</t>
  </si>
  <si>
    <t>0922/PPA-XII/23</t>
  </si>
  <si>
    <t>010-012-23.37376807</t>
  </si>
  <si>
    <t>0923/PPA-XII/23</t>
  </si>
  <si>
    <t>010-012-23.37376808</t>
  </si>
  <si>
    <t>0924/PPA-XII/23</t>
  </si>
  <si>
    <t>010-012-23.37376809</t>
  </si>
  <si>
    <t>Santuari</t>
  </si>
  <si>
    <t>Sewa 12 Jun 2023 30 Jun 2023</t>
  </si>
  <si>
    <t>0925/PPA-XII/23</t>
  </si>
  <si>
    <t>010-012-23.37376810</t>
  </si>
  <si>
    <t>0862/PPA-XI/23</t>
  </si>
  <si>
    <t>010-012-23.37376747</t>
  </si>
  <si>
    <t>Sierra 9189</t>
  </si>
  <si>
    <t>0863/PPA-XI/23</t>
  </si>
  <si>
    <t>010-012-23.37376748</t>
  </si>
  <si>
    <t>Sentarium 7914</t>
  </si>
  <si>
    <t>0864/PPA-XI/23</t>
  </si>
  <si>
    <t>010-012-23.37376749</t>
  </si>
  <si>
    <t>0865/PPA-XI/23</t>
  </si>
  <si>
    <t>010-012-23.37376750</t>
  </si>
  <si>
    <t>Sentarium 7553</t>
  </si>
  <si>
    <t>0866/PPA-XI/23</t>
  </si>
  <si>
    <t>010-012-23.37376751</t>
  </si>
  <si>
    <t>Sentarium 7694</t>
  </si>
  <si>
    <t>0867/PPA-XI/23</t>
  </si>
  <si>
    <t>010-012-23.37376752</t>
  </si>
  <si>
    <t>Sentarium 7989</t>
  </si>
  <si>
    <t>0868/PPA-XI/23</t>
  </si>
  <si>
    <t>010-012-23.37376753</t>
  </si>
  <si>
    <t>Sentarium 8055</t>
  </si>
  <si>
    <t>0869/PPA-XI/23</t>
  </si>
  <si>
    <t>010-012-23.37376754</t>
  </si>
  <si>
    <t>Sentarium 8108</t>
  </si>
  <si>
    <t>0870/PPA-XI/23</t>
  </si>
  <si>
    <t>010-012-23.37376755</t>
  </si>
  <si>
    <t>Sentarium 8192</t>
  </si>
  <si>
    <t>0871/PPA-XI/23</t>
  </si>
  <si>
    <t>010-012-23.37376756</t>
  </si>
  <si>
    <t>0872/PPA-XI/23</t>
  </si>
  <si>
    <t>010-012-23.37376757</t>
  </si>
  <si>
    <t>0873/PPA-XI/23</t>
  </si>
  <si>
    <t>010-012-23.37376758</t>
  </si>
  <si>
    <t>0874/PPA-XI/23</t>
  </si>
  <si>
    <t>010-012-23.37376759</t>
  </si>
  <si>
    <t>0875/PPA-XI/23</t>
  </si>
  <si>
    <t>010-012-23.37376760</t>
  </si>
  <si>
    <t>0876/PPA-XI/23</t>
  </si>
  <si>
    <t>010-012-23.37376761</t>
  </si>
  <si>
    <t>0877/PPA-XI/23</t>
  </si>
  <si>
    <t>010-012-23.37376762</t>
  </si>
  <si>
    <t>0878/PPA-XI/23</t>
  </si>
  <si>
    <t>010-012-23.37376763</t>
  </si>
  <si>
    <t>0879/PPA-XI/23</t>
  </si>
  <si>
    <t>010-012-23.37376764</t>
  </si>
  <si>
    <t>0902/PPA-XII/23</t>
  </si>
  <si>
    <t>010-012-23.37376787</t>
  </si>
  <si>
    <t>0908/PPA-XII/23</t>
  </si>
  <si>
    <t>010-012-23.37376793</t>
  </si>
  <si>
    <t>Sierra School 8188/9568</t>
  </si>
  <si>
    <t>Sewa 21 Okt 2023 sd 31 Okt 2023</t>
  </si>
  <si>
    <t>0909/PPA-XII/23</t>
  </si>
  <si>
    <t>010-012-23.37376794</t>
  </si>
  <si>
    <t>Sierra School 8190/9609</t>
  </si>
  <si>
    <t>0926/PPA-XII/23</t>
  </si>
  <si>
    <t>010-012-23.37376811</t>
  </si>
  <si>
    <t>0927/PPA-XII/23</t>
  </si>
  <si>
    <t>010-012-23.37376812</t>
  </si>
  <si>
    <t>0928/PPA-XII/23</t>
  </si>
  <si>
    <t>010-012-23.37376813</t>
  </si>
  <si>
    <t>0929/PPA-XII/23</t>
  </si>
  <si>
    <t>010-012-23.37376814</t>
  </si>
  <si>
    <t>Cijayanti</t>
  </si>
  <si>
    <t>Sewa 24 Agst 2023 sd 23 Sept 2023</t>
  </si>
  <si>
    <t>0930/PPA-XII/23</t>
  </si>
  <si>
    <t>010-012-23.37376815</t>
  </si>
  <si>
    <t>Alsut</t>
  </si>
  <si>
    <t>0931/PPA-XII/23</t>
  </si>
  <si>
    <t>010-012-23.37376816</t>
  </si>
  <si>
    <t>0932/PPA-XII/23</t>
  </si>
  <si>
    <t>010-012-23.37376817</t>
  </si>
  <si>
    <t>Grand Wisata</t>
  </si>
  <si>
    <t>0933/PPA-XII/23</t>
  </si>
  <si>
    <t>010-012-23.37376818</t>
  </si>
  <si>
    <t>0934/PPA-XII/23</t>
  </si>
  <si>
    <t>010-012-23.37376819</t>
  </si>
  <si>
    <t>Depo Jonggol</t>
  </si>
  <si>
    <t>Sewa 25 Sept 2023 sd 24 Okt 2023</t>
  </si>
  <si>
    <t>0935/PPA-XII/23</t>
  </si>
  <si>
    <t>010-012-23.37376820</t>
  </si>
  <si>
    <t>Sewa 25 Okt 2023 sd 24 Nov 2023</t>
  </si>
  <si>
    <t>0936/PPA-XII/23</t>
  </si>
  <si>
    <t>010-012-23.37376821</t>
  </si>
  <si>
    <t>Maggiore Junction Bsd</t>
  </si>
  <si>
    <t>0937/PPA-XII/23</t>
  </si>
  <si>
    <t>010-012-23.37376822</t>
  </si>
  <si>
    <t>0938/PPA-XII/23</t>
  </si>
  <si>
    <t>010-012-23.37376823</t>
  </si>
  <si>
    <t>0883/PPA-XI/23</t>
  </si>
  <si>
    <t>010-012-23.37376768</t>
  </si>
  <si>
    <t>Plant Pindodeli 2</t>
  </si>
  <si>
    <t>0939/PPA-XII/23</t>
  </si>
  <si>
    <t>010-012-23.37376824</t>
  </si>
  <si>
    <t>Plant Pindodeli</t>
  </si>
  <si>
    <t>0940/PPA-XII/23</t>
  </si>
  <si>
    <t>010-012-23.37376825</t>
  </si>
  <si>
    <t>0941/PPA-XII/23</t>
  </si>
  <si>
    <t>010-012-23.37376826</t>
  </si>
  <si>
    <t>Trijaya Maju Bersama</t>
  </si>
  <si>
    <t>Ashley Hotel</t>
  </si>
  <si>
    <t>0942/PPA-XII/23</t>
  </si>
  <si>
    <t>010-012-23.37376827</t>
  </si>
  <si>
    <t>0943/PPA-XII/23</t>
  </si>
  <si>
    <t>010-012-23.37376828</t>
  </si>
  <si>
    <t>SHIMIZU BANGUN CIPTA KONTRAKTOR</t>
  </si>
  <si>
    <t>Karawang Premium Outlet Mall</t>
  </si>
  <si>
    <t>Lumpsum</t>
  </si>
  <si>
    <t>0944/PPA-XII/23</t>
  </si>
  <si>
    <t>010-012-23.37376829</t>
  </si>
  <si>
    <t>PHCI</t>
  </si>
  <si>
    <t>Sewa 1 Desember 2023 - 31 Desember 2023</t>
  </si>
  <si>
    <t>0945/PPA-XII/23</t>
  </si>
  <si>
    <t>010-012-23.37376830</t>
  </si>
  <si>
    <t>0946/PPA-XII/23</t>
  </si>
  <si>
    <t>010-012-23.37376831</t>
  </si>
  <si>
    <t>SANCO</t>
  </si>
  <si>
    <t>0947/PPA-XII/23</t>
  </si>
  <si>
    <t>010-012-23.37376832</t>
  </si>
  <si>
    <t>EBARA</t>
  </si>
  <si>
    <t>0948/PPA-XII/23</t>
  </si>
  <si>
    <t>010-012-23.37376833</t>
  </si>
  <si>
    <t>0949/PPA-XII/23</t>
  </si>
  <si>
    <t>010-012-23.37376834</t>
  </si>
  <si>
    <t>0950/PPA-XII/23</t>
  </si>
  <si>
    <t>010-012-23.37376835</t>
  </si>
  <si>
    <t>0951/PPA-XII/23</t>
  </si>
  <si>
    <t>010-012-23.37376836</t>
  </si>
  <si>
    <t>PPH 23 TH 2023</t>
  </si>
  <si>
    <t>PPH 23 TH 2023 - BAYAR 2024</t>
  </si>
  <si>
    <t>PPH 23 TH 2023 - BAYAR 2022</t>
  </si>
  <si>
    <t>PPH 23 TH 2023 / FP 2022</t>
  </si>
  <si>
    <t>PPH 23 TH 2022</t>
  </si>
  <si>
    <t>PPH 23 TH 2021</t>
  </si>
  <si>
    <t>0085/PPA-III/22</t>
  </si>
  <si>
    <t>010.003-22.03996669</t>
  </si>
  <si>
    <t>Grand Heaven</t>
  </si>
  <si>
    <t>Sewa 1 Nov 2021 sd 30 Nov 2021</t>
  </si>
  <si>
    <t>0170/PPA-IV/22</t>
  </si>
  <si>
    <t>010.003-22.03996754</t>
  </si>
  <si>
    <t>Wika Gebung</t>
  </si>
  <si>
    <t>Rsup</t>
  </si>
  <si>
    <t>Sewa 14 Mar 2022 sd 13 Apr 2022</t>
  </si>
  <si>
    <t>09-Mei-2022</t>
  </si>
  <si>
    <t>0212/PPA-V/22</t>
  </si>
  <si>
    <t>010.003-22.04034887</t>
  </si>
  <si>
    <t>Sewa 5 Feb 2022 sd 4 Mar 2022</t>
  </si>
  <si>
    <t>0213/PPA-V/22</t>
  </si>
  <si>
    <t>010.003-22.04034888</t>
  </si>
  <si>
    <t>Sewa 1 Des 2021 sd 31 Des 2021</t>
  </si>
  <si>
    <t>0214/PPA-V/22</t>
  </si>
  <si>
    <t>010.003-22.04034889</t>
  </si>
  <si>
    <t>0335/PPA-VI/22</t>
  </si>
  <si>
    <t>010.003-22.04035010</t>
  </si>
  <si>
    <t>Yohan Handi Kurniawan</t>
  </si>
  <si>
    <t>-</t>
  </si>
  <si>
    <t>Xenia no BPKB N 02291377 no polisi B 2792 TOG</t>
  </si>
  <si>
    <t>0357/PPA-VII/22</t>
  </si>
  <si>
    <t>010.003-22.04035032</t>
  </si>
  <si>
    <t>PT.WIKA PRACETAK GEDUNG</t>
  </si>
  <si>
    <t>Sewa 5 Mar 2022 sd 4 Apr 2022</t>
  </si>
  <si>
    <t>0358/PPA-VII/22</t>
  </si>
  <si>
    <t>010.003-22.04035033</t>
  </si>
  <si>
    <t>Sewa 5 Apr 2022 sd 4 Mei 2022</t>
  </si>
  <si>
    <t>0359/PPA-VII/22</t>
  </si>
  <si>
    <t>010.003-22.04035034</t>
  </si>
  <si>
    <t>Sewa 5 Mei 2022 sd 4 Juni 2022</t>
  </si>
  <si>
    <t>0476/PPA-IX/22</t>
  </si>
  <si>
    <t>010.008-22.41269691</t>
  </si>
  <si>
    <t>Sewa 5 Juni 2022 sd 4 Juli 2022</t>
  </si>
  <si>
    <t>0477/PPA-IX/22</t>
  </si>
  <si>
    <t>010.008-22.41269692</t>
  </si>
  <si>
    <t>Sewa 5 Juli 2022 sd 4 Agst 2022</t>
  </si>
  <si>
    <t>0568/PPA-XI/22</t>
  </si>
  <si>
    <t>010.008-22.41269783</t>
  </si>
  <si>
    <t xml:space="preserve">Wika Gedung </t>
  </si>
  <si>
    <t>Bandara Halim</t>
  </si>
  <si>
    <t>Sewa 11 Agst 2022 sd 4 Nov 2022 &amp; Claim</t>
  </si>
  <si>
    <t>0598/PPA-XI/22</t>
  </si>
  <si>
    <t>010.008-22.41269813</t>
  </si>
  <si>
    <t>Mob &amp; Demob</t>
  </si>
  <si>
    <t>0599/PPA-XI/22</t>
  </si>
  <si>
    <t>010.008-22.41269814</t>
  </si>
  <si>
    <t>0600/PPA-XI/22</t>
  </si>
  <si>
    <t>010.008-22.41269815</t>
  </si>
  <si>
    <t>Sewa 5 Agst 2022 sd 4 Sept 2022</t>
  </si>
  <si>
    <t>0029/PPA-I/21</t>
  </si>
  <si>
    <t>010.003-21.30195816</t>
  </si>
  <si>
    <t>Polygon Perkasa Indonusa</t>
  </si>
  <si>
    <t>Daiwa</t>
  </si>
  <si>
    <t>Sewa 1 Nov 2020 sd 30 Nov 2020</t>
  </si>
  <si>
    <t>0062/PPA-I/21</t>
  </si>
  <si>
    <t>010.003-21.30195849</t>
  </si>
  <si>
    <t>Aicc</t>
  </si>
  <si>
    <t>Sewa 1 Des 2020 sd 31 Des 2020</t>
  </si>
  <si>
    <t>0063/PPA-I/21</t>
  </si>
  <si>
    <t>010.003-21.30195850</t>
  </si>
  <si>
    <t>Moya</t>
  </si>
  <si>
    <t>0064/PPA-I/21</t>
  </si>
  <si>
    <t>010.003-21.30195851</t>
  </si>
  <si>
    <t>Umetoku</t>
  </si>
  <si>
    <t>0072/PPA-II/21</t>
  </si>
  <si>
    <t>010.003-21.30195859</t>
  </si>
  <si>
    <t>Sewa 1 Jan 2021 sd 31 Jan 2021</t>
  </si>
  <si>
    <t>0073/PPA-II/21</t>
  </si>
  <si>
    <t>010.003-21.30195860</t>
  </si>
  <si>
    <t>0134/PPA-II/21</t>
  </si>
  <si>
    <t>010.003-21.30195921</t>
  </si>
  <si>
    <t>Daiwa Umetoku</t>
  </si>
  <si>
    <t>0140/PPA-III/21</t>
  </si>
  <si>
    <t>010.003-21.30195927</t>
  </si>
  <si>
    <t>Sewa 1 Feb 2021 sd 28 Feb 2021</t>
  </si>
  <si>
    <t>0141/PPA-III/21</t>
  </si>
  <si>
    <t>010.003-21.30195928</t>
  </si>
  <si>
    <t>0142/PPA-III/21</t>
  </si>
  <si>
    <t>010.003-21.30195929</t>
  </si>
  <si>
    <t>0143/PPA-III/21</t>
  </si>
  <si>
    <t>010.003-21.30195930</t>
  </si>
  <si>
    <t>Sewa 1 Mar 2021 sd 31 Mar 2021</t>
  </si>
  <si>
    <t>0144/PPA-III/21</t>
  </si>
  <si>
    <t>010.003-21.30195931</t>
  </si>
  <si>
    <t>0229/PPA-IV/21</t>
  </si>
  <si>
    <t>010.005-21.50483003</t>
  </si>
  <si>
    <t>0276/PPA-V/21</t>
  </si>
  <si>
    <t>010.005-21.50483050</t>
  </si>
  <si>
    <t xml:space="preserve">Polygon </t>
  </si>
  <si>
    <t>Sewa 1 Apr 2021 sd 30 Apr 2021</t>
  </si>
  <si>
    <t>0277/PPA-V/21</t>
  </si>
  <si>
    <t>010.005-21.50483051</t>
  </si>
  <si>
    <t>0278/PPA-V/21</t>
  </si>
  <si>
    <t>010.005-21.50483052</t>
  </si>
  <si>
    <t>0327/PPA-VI/21</t>
  </si>
  <si>
    <t>010.005-21.50483101</t>
  </si>
  <si>
    <t>Sewa 1 Mei 2021 sd 31 Mei 2021</t>
  </si>
  <si>
    <t>0380/PPA-VI/21</t>
  </si>
  <si>
    <t>010.005-21.50483154</t>
  </si>
  <si>
    <t>0381/PPA-VI/21</t>
  </si>
  <si>
    <t>010.005-21.50483155</t>
  </si>
  <si>
    <t>0403/PPA-VII/21</t>
  </si>
  <si>
    <t>010.007-21.16985392</t>
  </si>
  <si>
    <t>Sewa 3 Mar 2021 sd 31 Mar 2021</t>
  </si>
  <si>
    <t>0404/PPA-VII/21</t>
  </si>
  <si>
    <t>010.007-21.16985393</t>
  </si>
  <si>
    <t>0405/PPA-VII/21</t>
  </si>
  <si>
    <t>010.007-21.16985394</t>
  </si>
  <si>
    <t>0414/PPA-VII/21</t>
  </si>
  <si>
    <t>010.007-21.16985403</t>
  </si>
  <si>
    <t>Mantap 047</t>
  </si>
  <si>
    <t>Sewa 26 Nov 2020 sd 25 Des 2020</t>
  </si>
  <si>
    <t>0415/PPA-VII/21</t>
  </si>
  <si>
    <t>010.007-21.16985404</t>
  </si>
  <si>
    <t>Mantap 044</t>
  </si>
  <si>
    <t>Sewa 11 Des 2020 sd 10 Jan 2021</t>
  </si>
  <si>
    <t>0416/PPA-VII/21</t>
  </si>
  <si>
    <t>010.007-21.16985405</t>
  </si>
  <si>
    <t>Sewa 11 Jan 2021 sd 10 Feb 2021</t>
  </si>
  <si>
    <t>0417/PPA-VII/21</t>
  </si>
  <si>
    <t>010.007-21.16985406</t>
  </si>
  <si>
    <t>Mantap 056</t>
  </si>
  <si>
    <t>Sewa 5 Des 2020 sd 4 Jan 2021</t>
  </si>
  <si>
    <t>0418/PPA-VII/21</t>
  </si>
  <si>
    <t>010.007-21.16985407</t>
  </si>
  <si>
    <t>Sewa 5 Jan 2021 sd 4 Feb 2021</t>
  </si>
  <si>
    <t>0419/PPA-VII/21</t>
  </si>
  <si>
    <t>010.007-21.16985408</t>
  </si>
  <si>
    <t>Sewa 5 Feb 2021 sd 4 Mar 2021</t>
  </si>
  <si>
    <t>0429/PPA-VII/21</t>
  </si>
  <si>
    <t>010.007-21.16985418</t>
  </si>
  <si>
    <t>Sewa 1 Jun 2021 sd 30 Jun 2021</t>
  </si>
  <si>
    <t>0430/PPA-VII/21</t>
  </si>
  <si>
    <t>010.007-21.16985419</t>
  </si>
  <si>
    <t>Moya Water</t>
  </si>
  <si>
    <t>0431/PPA-VII/21</t>
  </si>
  <si>
    <t>010.007-21.16985420</t>
  </si>
  <si>
    <t>0440/PPA-VIII/21</t>
  </si>
  <si>
    <t>010.007-21.16985429</t>
  </si>
  <si>
    <t>Polygon</t>
  </si>
  <si>
    <t>Sewa 1 Jul 2021 sd 31 Jul 2021</t>
  </si>
  <si>
    <t>28-Agst-21</t>
  </si>
  <si>
    <t>0465/PPA-VIII/21</t>
  </si>
  <si>
    <t>010.007-21.16985454</t>
  </si>
  <si>
    <t>Sewa 1 Jul 2021 sd 31 Juli 2021</t>
  </si>
  <si>
    <t>0466/PPA-VIII/21</t>
  </si>
  <si>
    <t>010.007-21.16985455</t>
  </si>
  <si>
    <t>0494/PPA-IX/21</t>
  </si>
  <si>
    <t>010.007-21.16985483</t>
  </si>
  <si>
    <t>0512/PPA-IX/21</t>
  </si>
  <si>
    <t>011.007-21.16985501</t>
  </si>
  <si>
    <t>JO.CNQC-NKE</t>
  </si>
  <si>
    <t>Chadstone</t>
  </si>
  <si>
    <t>Sewa 1 Agst 2019 sd 31 Agst 2019</t>
  </si>
  <si>
    <t>0513/PPA-IX/21</t>
  </si>
  <si>
    <t>010.007-21.16985502</t>
  </si>
  <si>
    <t>Sewa 1 Sept 2019 sd 30 Sept 2019</t>
  </si>
  <si>
    <t>0514/PPA-IX/21</t>
  </si>
  <si>
    <t>010.007-21.16985503</t>
  </si>
  <si>
    <t>Sewa 1 Okt 2019 sd 31 Okt 2019</t>
  </si>
  <si>
    <t>0515/PPA-IX/21</t>
  </si>
  <si>
    <t>011.007-21.16985504</t>
  </si>
  <si>
    <t>Sewa 1 Nov 2019 sd 30 Nov 2019</t>
  </si>
  <si>
    <t>0516/PPA-IX/21</t>
  </si>
  <si>
    <t>011.007-21.16985505</t>
  </si>
  <si>
    <t>Sewa 1 Des 2019 sd 31 Des 2019</t>
  </si>
  <si>
    <t>0520/PPA-IX/21</t>
  </si>
  <si>
    <t>010.007-21.16985509</t>
  </si>
  <si>
    <t>Sewa 1 Agst 2021 sd 31 Agst 2021</t>
  </si>
  <si>
    <t>19 Oktober 21</t>
  </si>
  <si>
    <t>0564/PPAX/21</t>
  </si>
  <si>
    <t>010.007-21.16985553</t>
  </si>
  <si>
    <t>0565/PPAX/21</t>
  </si>
  <si>
    <t>010.007-21.16985554</t>
  </si>
  <si>
    <t>0566/PPAX/21</t>
  </si>
  <si>
    <t>010.007-21.16985555</t>
  </si>
  <si>
    <t>0615/PPA-XI/21</t>
  </si>
  <si>
    <t>010.008-21.95196013</t>
  </si>
  <si>
    <t>Sewa 1 Sept 2021 sd 30 Sept 2021</t>
  </si>
  <si>
    <t>0616/PPA-XI/21</t>
  </si>
  <si>
    <t>010.008-21.95196014</t>
  </si>
  <si>
    <t>0617/PPA-XI/21</t>
  </si>
  <si>
    <t>010.008-21.95196015</t>
  </si>
  <si>
    <t>0635/PPA-XI/21</t>
  </si>
  <si>
    <t>010.008-21.95196033</t>
  </si>
  <si>
    <t>0636/PPA-XI/21</t>
  </si>
  <si>
    <t>010.008-21.95196034</t>
  </si>
  <si>
    <t>Sewa 1 Okt 2021 sd 31 Okt 2021</t>
  </si>
  <si>
    <t>0118/PPA-II/20</t>
  </si>
  <si>
    <t>010.003-20.44364848</t>
  </si>
  <si>
    <t>0119/PPA-II/20</t>
  </si>
  <si>
    <t>010.003-20.44364849</t>
  </si>
  <si>
    <t>0120/PPA-II/20</t>
  </si>
  <si>
    <t>010.003-20.44364850</t>
  </si>
  <si>
    <t>0256/PPA-III/20</t>
  </si>
  <si>
    <t>010.004-20.37611726</t>
  </si>
  <si>
    <t>Sewa 1 Feb 2020 sd 29 Feb 2020</t>
  </si>
  <si>
    <t>0257/PPA-III/20</t>
  </si>
  <si>
    <t>010.004-20.37611727</t>
  </si>
  <si>
    <t>0258/PPA-III/20</t>
  </si>
  <si>
    <t>010.004-20.37611728</t>
  </si>
  <si>
    <t>0265/PPA-III/20</t>
  </si>
  <si>
    <t>010.004-20.37611735</t>
  </si>
  <si>
    <t>Sewa 1 Jan 2020 sd 31 Jan 2020</t>
  </si>
  <si>
    <t>0266/PPA-III/20</t>
  </si>
  <si>
    <t>010.004-20.37611736</t>
  </si>
  <si>
    <t>0267/PPA-III/20</t>
  </si>
  <si>
    <t>010.004-20.37611737</t>
  </si>
  <si>
    <t>0349/PPA-IV/20</t>
  </si>
  <si>
    <t>010.004-20.37611819</t>
  </si>
  <si>
    <t>Sewa 1 Mar 2020 sd 31 Mar 2020</t>
  </si>
  <si>
    <t>0350/PPA-IV/20</t>
  </si>
  <si>
    <t>010.004-20.37611820</t>
  </si>
  <si>
    <t>0351/PPA-IV/20</t>
  </si>
  <si>
    <t>010.004-20.37611821</t>
  </si>
  <si>
    <t>0362/PPA-IV/20</t>
  </si>
  <si>
    <t>010.004-20.37611832</t>
  </si>
  <si>
    <t>Cartenz Bsd</t>
  </si>
  <si>
    <t>Sewa 1 Feb 2020 sd 7 Feb 2020</t>
  </si>
  <si>
    <t>0378/PPA-IV/20</t>
  </si>
  <si>
    <t>010.004-20.37611848</t>
  </si>
  <si>
    <t>Penjualan Motor Yamaha 1pa th 2014</t>
  </si>
  <si>
    <t>2-Mei-2020</t>
  </si>
  <si>
    <t>0453/PPA-V/20</t>
  </si>
  <si>
    <t>010.005-20.43481296</t>
  </si>
  <si>
    <t>Sewa 1 Apr 2020 sd 30 Apr 2020</t>
  </si>
  <si>
    <t>0454/PPA-V/20</t>
  </si>
  <si>
    <t>010.005-20.43481297</t>
  </si>
  <si>
    <t>0455/PPA-V/20</t>
  </si>
  <si>
    <t>010.005-20.43481298</t>
  </si>
  <si>
    <t>0505/PPA-VI/20</t>
  </si>
  <si>
    <t>010.005-20.43481348</t>
  </si>
  <si>
    <t>Sewa 1 Mei 2020 sd 31 Mei 2020</t>
  </si>
  <si>
    <t>0506/PPA-VI/20</t>
  </si>
  <si>
    <t>010.005-20.43481349</t>
  </si>
  <si>
    <t>0507/PPA-VI/20</t>
  </si>
  <si>
    <t>010.005-20.43481350</t>
  </si>
  <si>
    <t>0641/PPA-VII/20</t>
  </si>
  <si>
    <t>010.006-20.50258354</t>
  </si>
  <si>
    <t>Sewa 1 Jun 2020 sd 30 Jun 2020</t>
  </si>
  <si>
    <t>0642/PPA-VII/20</t>
  </si>
  <si>
    <t>010.006-20.50258355</t>
  </si>
  <si>
    <t>0643/PPA-VII/20</t>
  </si>
  <si>
    <t>010.006-20.50258356</t>
  </si>
  <si>
    <t>0644/PPA-VII/20</t>
  </si>
  <si>
    <t>010.006-20.50258357</t>
  </si>
  <si>
    <t>Sewa 1 Jul 2020 sd 31 Jul 2020</t>
  </si>
  <si>
    <t>1-Des-20</t>
  </si>
  <si>
    <t>1109/PPA-XII/20</t>
  </si>
  <si>
    <t>010.008-20.52363265</t>
  </si>
  <si>
    <t>1110/PPA-XII/20</t>
  </si>
  <si>
    <t>010.008-20.52363266</t>
  </si>
  <si>
    <t>0097/PPA-II/19</t>
  </si>
  <si>
    <t>010.002-19.64976099</t>
  </si>
  <si>
    <t>Rsud</t>
  </si>
  <si>
    <t>Sewa 1 Nov 18 sd 30 Nov 18</t>
  </si>
  <si>
    <t>0132/PPA-III/19</t>
  </si>
  <si>
    <t>010.002-19.64976134</t>
  </si>
  <si>
    <t>Jo.Cnqc-Nke</t>
  </si>
  <si>
    <t>Chadstone 1</t>
  </si>
  <si>
    <t>Sewa 1 Jan 19 sd 31 Jan 19</t>
  </si>
  <si>
    <t>0133/PPA-III/19</t>
  </si>
  <si>
    <t>010.002-19.64976135</t>
  </si>
  <si>
    <t>Chadstone 2</t>
  </si>
  <si>
    <t>0299/PPA-IV/19</t>
  </si>
  <si>
    <t>010.003-19.76245398</t>
  </si>
  <si>
    <t>Jo.Cnqc-nke</t>
  </si>
  <si>
    <t>Sewa 1 Feb 19 sd 28 Feb 19</t>
  </si>
  <si>
    <t>0436/PPA-VI/19</t>
  </si>
  <si>
    <t>010.005-19.23192900</t>
  </si>
  <si>
    <t>Sewa 1 Mei 19 Sd 31 Mei 19</t>
  </si>
  <si>
    <t>0517/PPA-VII/19</t>
  </si>
  <si>
    <t>010.005-19.23192981</t>
  </si>
  <si>
    <t>Sewa 1 Mei 19 sd 31 Mei 19</t>
  </si>
  <si>
    <t>0518/PPA-VII/19</t>
  </si>
  <si>
    <t>010.005-19.23192982</t>
  </si>
  <si>
    <t>0519/PPA-VII/19</t>
  </si>
  <si>
    <t>010.005-19.23192983</t>
  </si>
  <si>
    <t xml:space="preserve">Chadstone </t>
  </si>
  <si>
    <t>Sewa 1 Jun 19 sd 30 Jun 19</t>
  </si>
  <si>
    <t>0529/PPA-VII/19</t>
  </si>
  <si>
    <t>010.005-19.23192993</t>
  </si>
  <si>
    <t>0530/PPA-VII/19</t>
  </si>
  <si>
    <t>010.005-19.23192994</t>
  </si>
  <si>
    <t>0531/PPA-VII/19</t>
  </si>
  <si>
    <t>010.005-19.23192995</t>
  </si>
  <si>
    <t>1-Agst-19</t>
  </si>
  <si>
    <t>0550/PPA-VIII/19</t>
  </si>
  <si>
    <t>010.005-19.23193014</t>
  </si>
  <si>
    <t>Sewa 1 Jul 19 sd 31 Jul 19</t>
  </si>
  <si>
    <t>0551/PPA-VIII/19</t>
  </si>
  <si>
    <t>010.005-19.23193015</t>
  </si>
  <si>
    <t>0552/PPA-VIII/19</t>
  </si>
  <si>
    <t>010.005-19.23193016</t>
  </si>
  <si>
    <t>26-Agst-19</t>
  </si>
  <si>
    <t>0590/PPA-VIII/19</t>
  </si>
  <si>
    <t>010.005-19.23193054</t>
  </si>
  <si>
    <t>JO.Cnqc-Nke</t>
  </si>
  <si>
    <t>0663/PPA-IX/19</t>
  </si>
  <si>
    <t>010.006-19.47555629</t>
  </si>
  <si>
    <t>Sewa 1 Agst 19 sd 31 Agst 19</t>
  </si>
  <si>
    <t>0664/PPA-IX/19</t>
  </si>
  <si>
    <t>010.006-19.47555630</t>
  </si>
  <si>
    <t>0665/PPA-IX/19</t>
  </si>
  <si>
    <t>010.006-19.47555631</t>
  </si>
  <si>
    <t>0675/PPA-X/19</t>
  </si>
  <si>
    <t>010.006-19.47555641</t>
  </si>
  <si>
    <t>Sewa 1 Sept 19 sd 30 Sept 19</t>
  </si>
  <si>
    <t>31-Okt-19</t>
  </si>
  <si>
    <t>0741/PPA-X/19</t>
  </si>
  <si>
    <t>010.006-19.47555707</t>
  </si>
  <si>
    <t>0742/PPA-X/19</t>
  </si>
  <si>
    <t>010.006-19.47555708</t>
  </si>
  <si>
    <t>0749/PPA-XI/19</t>
  </si>
  <si>
    <t>010.006-19.47555715</t>
  </si>
  <si>
    <t>Sewa 1 Okt 19 sd 31 Okt 19</t>
  </si>
  <si>
    <t>0750/PPA-XI/19</t>
  </si>
  <si>
    <t>010.006-19.47555716</t>
  </si>
  <si>
    <t>0751/PPA-XI/19</t>
  </si>
  <si>
    <t>010.006-19.47555717</t>
  </si>
  <si>
    <t>0788/PPA-XI/19</t>
  </si>
  <si>
    <t>010.006-19.47555754</t>
  </si>
  <si>
    <t xml:space="preserve">Polabaja </t>
  </si>
  <si>
    <t>Tegal Parang 7</t>
  </si>
  <si>
    <t>Sewa 19 Okt 19 sd 31 Okt 19</t>
  </si>
  <si>
    <t>2-Des-19</t>
  </si>
  <si>
    <t>0868/PPA-XII/19</t>
  </si>
  <si>
    <t>010.007-19.50298623</t>
  </si>
  <si>
    <t xml:space="preserve">Moya </t>
  </si>
  <si>
    <t>Sewa 1 Nov 19 sd 30 Nov 19</t>
  </si>
  <si>
    <t>0869/PPA-XII/19</t>
  </si>
  <si>
    <t>010.007-19.50298624</t>
  </si>
  <si>
    <t>21-Des-19</t>
  </si>
  <si>
    <t>0910/PPA-XII/19</t>
  </si>
  <si>
    <t>010.007-19.50298665</t>
  </si>
  <si>
    <t>0041/PPA-I/18</t>
  </si>
  <si>
    <t>010.001-18.91781144</t>
  </si>
  <si>
    <t>Dharma Eka Abadi</t>
  </si>
  <si>
    <t>Panarub Ps.Baru</t>
  </si>
  <si>
    <t>Sewa 1 Des 17 sd 31 Des 17</t>
  </si>
  <si>
    <t>0069/PPA-I/18</t>
  </si>
  <si>
    <t>010.001-18.91781172</t>
  </si>
  <si>
    <t>0070/PPA-I/18</t>
  </si>
  <si>
    <t>010.001-18.91781173</t>
  </si>
  <si>
    <t>0115/PPA-II/18</t>
  </si>
  <si>
    <t>010.001-18.91781218</t>
  </si>
  <si>
    <t>Panarub</t>
  </si>
  <si>
    <t>Sewa 1 Jan 18 sd 31 Jan 18</t>
  </si>
  <si>
    <t>0145/PPA-II/18</t>
  </si>
  <si>
    <t>010.001-18.91781248</t>
  </si>
  <si>
    <t>0146/PPA-II/18</t>
  </si>
  <si>
    <t>010.001-18.91781249</t>
  </si>
  <si>
    <t>0161/PPA-III/18</t>
  </si>
  <si>
    <t>010.001-18.91781264</t>
  </si>
  <si>
    <t>Sewa 1 Feb 2018 sd 28 Feb 2018</t>
  </si>
  <si>
    <t>0168/PPA-III/18</t>
  </si>
  <si>
    <t>010.001-18.91781271</t>
  </si>
  <si>
    <t>Nindya Karya</t>
  </si>
  <si>
    <t>Meruya</t>
  </si>
  <si>
    <t>0170/PPA-III/18</t>
  </si>
  <si>
    <t>010.001-18.91781273</t>
  </si>
  <si>
    <t>Kbn Jeruk</t>
  </si>
  <si>
    <t>0173/PPA-III/18</t>
  </si>
  <si>
    <t>010.001-18.91781276</t>
  </si>
  <si>
    <t>Polygon Perkasa indonusa</t>
  </si>
  <si>
    <t>0174/PPA-III/18</t>
  </si>
  <si>
    <t>010.001-18.91781277</t>
  </si>
  <si>
    <t>0307/PPA-IV/18</t>
  </si>
  <si>
    <t>010.002-18.91367542</t>
  </si>
  <si>
    <t>Sewa 1 Mar 18 sd 31 Mar 18</t>
  </si>
  <si>
    <t>0308/PPA-IV/18</t>
  </si>
  <si>
    <t>010.002-18.91367543</t>
  </si>
  <si>
    <t>0311/PPA-IV/18</t>
  </si>
  <si>
    <t>010.002-18.91367546</t>
  </si>
  <si>
    <t>Menara Astra</t>
  </si>
  <si>
    <t>Ongkos Kirim</t>
  </si>
  <si>
    <t>0334/PPA-IV/18</t>
  </si>
  <si>
    <t>010.002-18.91367569</t>
  </si>
  <si>
    <t>Boyolali</t>
  </si>
  <si>
    <t>0335/PPA-IV/18</t>
  </si>
  <si>
    <t>010.002-18.91367570</t>
  </si>
  <si>
    <t>Sewa 2 Mar 18 sd 31 Mar 18</t>
  </si>
  <si>
    <t>0336/PPA-IV/18</t>
  </si>
  <si>
    <t>010.002-18.91367571</t>
  </si>
  <si>
    <t>8-Mei-18</t>
  </si>
  <si>
    <t>0401/PPA-V/18</t>
  </si>
  <si>
    <t>010.003-18.82356869</t>
  </si>
  <si>
    <t>Sewa 1 Apr 18 sd 30 Apr 18</t>
  </si>
  <si>
    <t>0402/PPA-V/18</t>
  </si>
  <si>
    <t>010.003-18.82356870</t>
  </si>
  <si>
    <t>0403/PPA-V/18</t>
  </si>
  <si>
    <t>010.003-18.82356871</t>
  </si>
  <si>
    <t>0404/PPA-V/18</t>
  </si>
  <si>
    <t>010.003-18.82356872</t>
  </si>
  <si>
    <t>14-Mei-18</t>
  </si>
  <si>
    <t>0424/PPA-V/18</t>
  </si>
  <si>
    <t>010.003-18.82356892</t>
  </si>
  <si>
    <t>Menara Astra Sudirman</t>
  </si>
  <si>
    <t>Sewa 2 Apr 18 sd 30 Apr 18</t>
  </si>
  <si>
    <t>0494/PPA-VI/18</t>
  </si>
  <si>
    <t>010.003-18.82356962</t>
  </si>
  <si>
    <t>Sewa 1 Mei 18 sd 31 Mei 2018</t>
  </si>
  <si>
    <t>0495/PPA-VI/18</t>
  </si>
  <si>
    <t>010.003-18.82356963</t>
  </si>
  <si>
    <t>0496/PPA-VI/18</t>
  </si>
  <si>
    <t>010.003-18.82356964</t>
  </si>
  <si>
    <t>0513/PPA-VI/18</t>
  </si>
  <si>
    <t>010.003-18.82356981</t>
  </si>
  <si>
    <t>Vastorindo</t>
  </si>
  <si>
    <t>Toto 81</t>
  </si>
  <si>
    <t>0514/PPA-VI/18</t>
  </si>
  <si>
    <t>010.003-18.82356982</t>
  </si>
  <si>
    <t>0515/PPA-VI/18</t>
  </si>
  <si>
    <t>010.003-18.82356983</t>
  </si>
  <si>
    <t>0537/PPA-VII/18</t>
  </si>
  <si>
    <t>010.003-18.82357005</t>
  </si>
  <si>
    <t>Sewa 1 Jun 18 sd 30 Jun 18</t>
  </si>
  <si>
    <t>0538/PPA-VII/18</t>
  </si>
  <si>
    <t>010.003-18.82357006</t>
  </si>
  <si>
    <t>Ongkos Retur</t>
  </si>
  <si>
    <t>0539/PPA-VII/18</t>
  </si>
  <si>
    <t>010.003-18.82357007</t>
  </si>
  <si>
    <t>0540/PPA-VII/18</t>
  </si>
  <si>
    <t>010.003-18.82357008</t>
  </si>
  <si>
    <t>0555/PPA-VII/18</t>
  </si>
  <si>
    <t>010.003-18.82357023</t>
  </si>
  <si>
    <t>Lrt Cawang</t>
  </si>
  <si>
    <t>0565/PPA-VII/18</t>
  </si>
  <si>
    <t>010.003-18.82357033</t>
  </si>
  <si>
    <t>0566/PPA-VII/18</t>
  </si>
  <si>
    <t>010.003-18.82357034</t>
  </si>
  <si>
    <t>1-Agst-18</t>
  </si>
  <si>
    <t>0617/PPA-VIII/18</t>
  </si>
  <si>
    <t>010.004-18.87251567</t>
  </si>
  <si>
    <t>Sewa 7 Jul 18 sd 31 Jul 18</t>
  </si>
  <si>
    <t>4-Agst-18</t>
  </si>
  <si>
    <t>0655/PPA-VIII/18</t>
  </si>
  <si>
    <t>010.004-18.87251605</t>
  </si>
  <si>
    <t>Sewa 1 Jul 18 sd 31 Jul 18</t>
  </si>
  <si>
    <t>0656/PPA-VIII/18</t>
  </si>
  <si>
    <t>010.004-18.87251606</t>
  </si>
  <si>
    <t>0657/PPA-VIII/18</t>
  </si>
  <si>
    <t>010.004-18.87251607</t>
  </si>
  <si>
    <t>14-Agst-18</t>
  </si>
  <si>
    <t>0677/PPA-VIII/18</t>
  </si>
  <si>
    <t>010.004-18.87251627</t>
  </si>
  <si>
    <t>0678/PPA-VIII/18</t>
  </si>
  <si>
    <t>010.004-18.87251628</t>
  </si>
  <si>
    <t>0729/PPA-IX/18</t>
  </si>
  <si>
    <t>010.004-18.87251679</t>
  </si>
  <si>
    <t>Sewa 1 Agst 18 sd 31 Agst</t>
  </si>
  <si>
    <t>0730/PPA-IX/18</t>
  </si>
  <si>
    <t>010.004-18.87251680</t>
  </si>
  <si>
    <t>0731/PPA-IX/18</t>
  </si>
  <si>
    <t>010.004-18.87251681</t>
  </si>
  <si>
    <t>0746/PPA-IX/18</t>
  </si>
  <si>
    <t>010.004-18.87251696</t>
  </si>
  <si>
    <t>Sewa 1 Agst 18 sd 31 Agst 18</t>
  </si>
  <si>
    <t>0768/PPA-IX/18</t>
  </si>
  <si>
    <t>010.004-18.87251718</t>
  </si>
  <si>
    <t>Trans Cibubur 159</t>
  </si>
  <si>
    <t>Sewa 13 Mar 18 sd 31 Mar 18</t>
  </si>
  <si>
    <t>1-Okt-18</t>
  </si>
  <si>
    <t>0794/PPA-X/18</t>
  </si>
  <si>
    <t>010.004-18.87251744</t>
  </si>
  <si>
    <t>4-Okt-18</t>
  </si>
  <si>
    <t>0806/PPA-X/18</t>
  </si>
  <si>
    <t>010.005-18.79465148</t>
  </si>
  <si>
    <t>Sewa 1 Sept 18 sd 30 Sept 2018</t>
  </si>
  <si>
    <t>0807/PPA-X/18</t>
  </si>
  <si>
    <t>010.005-18.79465149</t>
  </si>
  <si>
    <t>0808/PPA-X/18</t>
  </si>
  <si>
    <t>010.005-18.79465150</t>
  </si>
  <si>
    <t>26-Okt-18</t>
  </si>
  <si>
    <t>0848/PPA-X/18</t>
  </si>
  <si>
    <t>010.005-18.79465190</t>
  </si>
  <si>
    <t>Panarub Boyolali</t>
  </si>
  <si>
    <t>0849/PPA-X/18</t>
  </si>
  <si>
    <t>010.005-18.79465191</t>
  </si>
  <si>
    <t>12-Des-18</t>
  </si>
  <si>
    <t>0995/PPA-XII/18</t>
  </si>
  <si>
    <t>010.005-18.79465337</t>
  </si>
  <si>
    <t>Global</t>
  </si>
  <si>
    <t>Wisma Senayan</t>
  </si>
  <si>
    <t>RETUR BARANG</t>
  </si>
  <si>
    <t>0895/PPA-XI/18</t>
  </si>
  <si>
    <t>010.005-18.79465237</t>
  </si>
  <si>
    <t>Interdesign</t>
  </si>
  <si>
    <t>Jgc</t>
  </si>
  <si>
    <t>Sewa 1 Okt 18 sd 31 Okt 18</t>
  </si>
  <si>
    <t>1000/PPA-XII/18</t>
  </si>
  <si>
    <t>010.005-18.79465342</t>
  </si>
  <si>
    <t xml:space="preserve">Interdesign </t>
  </si>
  <si>
    <t>Sewa 1 Nov 18 sd 09 Nov 18</t>
  </si>
  <si>
    <t>0396/PPA-VI/17</t>
  </si>
  <si>
    <t>010.017-17.84458991</t>
  </si>
  <si>
    <t>PT.Panarub</t>
  </si>
  <si>
    <t>0418/PPA-VII/17</t>
  </si>
  <si>
    <t>010.018-17.94613939</t>
  </si>
  <si>
    <t>Moya 2</t>
  </si>
  <si>
    <t>Sewa 1 Jun 17 sd 30 Jun 17</t>
  </si>
  <si>
    <t>0472/PPA-VII/17</t>
  </si>
  <si>
    <t>010.018-17.94613993</t>
  </si>
  <si>
    <t>Panarub PS.Baru</t>
  </si>
  <si>
    <t>Sewa 14 Jun 17 sd 30 Jun 17</t>
  </si>
  <si>
    <t>7-Agst-17</t>
  </si>
  <si>
    <t>0524/PPA-VIII/17</t>
  </si>
  <si>
    <t>010.018-17.94614045</t>
  </si>
  <si>
    <t>0525/PPA-VIII/17</t>
  </si>
  <si>
    <t>010.018-17.94614046</t>
  </si>
  <si>
    <t>Sewa 1 Jul 17 sd 31 Jul 17</t>
  </si>
  <si>
    <t>0538/PPA-VIII/17</t>
  </si>
  <si>
    <t>010.018-17.94614059</t>
  </si>
  <si>
    <t>0539/PPA-VIII/17</t>
  </si>
  <si>
    <t>010.018-17.94614060</t>
  </si>
  <si>
    <t>0540/PPA-VIII/17</t>
  </si>
  <si>
    <t>010.018-17.94614061</t>
  </si>
  <si>
    <t>0608/PPA-IX/17</t>
  </si>
  <si>
    <t>010.020-17.03462156</t>
  </si>
  <si>
    <t>PT Panarub</t>
  </si>
  <si>
    <t>Ongkos Ambil</t>
  </si>
  <si>
    <t>0609/PPA-IX/17</t>
  </si>
  <si>
    <t>010.020-17.03462157</t>
  </si>
  <si>
    <t>Sewa 1 Agst 17 sd 31 Agst 17</t>
  </si>
  <si>
    <t>0612/PPA-IX/17</t>
  </si>
  <si>
    <t>010.020-17.03462160</t>
  </si>
  <si>
    <t>0613/PPA-IX/17</t>
  </si>
  <si>
    <t>010.020-17.03462161</t>
  </si>
  <si>
    <t>0614/PPA-IX/17</t>
  </si>
  <si>
    <t>010.020-17.03462162</t>
  </si>
  <si>
    <t>9-Okt-17</t>
  </si>
  <si>
    <t>0697/PPA-X/17</t>
  </si>
  <si>
    <t>010.020-17.03462245</t>
  </si>
  <si>
    <t>Sewa 1 Sept 17 sd 30 Sept 17</t>
  </si>
  <si>
    <t>0699/PPA-X/17</t>
  </si>
  <si>
    <t>010.020-17.03462247</t>
  </si>
  <si>
    <t>0700/PPA-X/17</t>
  </si>
  <si>
    <t>010.020-17.03462248</t>
  </si>
  <si>
    <t>0701/PPA-X/17</t>
  </si>
  <si>
    <t>010.020-17.03462249</t>
  </si>
  <si>
    <t>0796/PPA-XI/17</t>
  </si>
  <si>
    <t>010.020-17.03462344</t>
  </si>
  <si>
    <t>0797/PPA-XI/17</t>
  </si>
  <si>
    <t>010.020-17.03462345</t>
  </si>
  <si>
    <t>Sewa 1 Okt 17 sd 31 Okt 17</t>
  </si>
  <si>
    <t>0798/PPA-XI/17</t>
  </si>
  <si>
    <t>010.020-17.03462346</t>
  </si>
  <si>
    <t>0799/PPA-XI/17</t>
  </si>
  <si>
    <t>010.020-17.03462347</t>
  </si>
  <si>
    <t>0804/PPA-XI/17</t>
  </si>
  <si>
    <t>010.020-17.73283864</t>
  </si>
  <si>
    <t>5-Des-17</t>
  </si>
  <si>
    <t>0912/PPA-XII/17</t>
  </si>
  <si>
    <t>010.020-17.73283972</t>
  </si>
  <si>
    <t>Sewa 1 Nov 17 sd 30 Nov 17</t>
  </si>
  <si>
    <t>11-Des-17</t>
  </si>
  <si>
    <t>0953/PPA-XII/17</t>
  </si>
  <si>
    <t>010.020-17.73284013</t>
  </si>
  <si>
    <t>0954/PPA-XII/17</t>
  </si>
  <si>
    <t>010.020-17.73284014</t>
  </si>
  <si>
    <t>0955/PPA-XII/17</t>
  </si>
  <si>
    <t>010.020-17.73284015</t>
  </si>
  <si>
    <t>0356/PPA-VI/16</t>
  </si>
  <si>
    <t>010.031-16.16966526</t>
  </si>
  <si>
    <t>Living po IV</t>
  </si>
  <si>
    <t>Sewa 1 Mei 16 sd 31 Mei 16</t>
  </si>
  <si>
    <t>cicil</t>
  </si>
  <si>
    <t>3-Agus-16</t>
  </si>
  <si>
    <t>0464/PPA-VIII/16</t>
  </si>
  <si>
    <t>010.033-16.10746459</t>
  </si>
  <si>
    <t>Living Plaza Po I</t>
  </si>
  <si>
    <t>Sewa 1 Juli 16 sd 31 Juli 16</t>
  </si>
  <si>
    <t>0465/PPA-VIII/16</t>
  </si>
  <si>
    <t>010.033-16.10746460</t>
  </si>
  <si>
    <t>Living Plaza Po III</t>
  </si>
  <si>
    <t>0466/PPA-VIII/16</t>
  </si>
  <si>
    <t>010.033-16.10746461</t>
  </si>
  <si>
    <t>Living Plaza Po IV</t>
  </si>
  <si>
    <t>0467/PPA-VIII/16</t>
  </si>
  <si>
    <t>010.033-16.10746462</t>
  </si>
  <si>
    <t>Living Plaza Po V</t>
  </si>
  <si>
    <t>0468/PPA-VIII/16</t>
  </si>
  <si>
    <t>010.033-16.10746463</t>
  </si>
  <si>
    <t>Ahm Sunter</t>
  </si>
  <si>
    <t>31-Agst-16</t>
  </si>
  <si>
    <t>0513/PPA-VIII/16</t>
  </si>
  <si>
    <t>010.033-16.10746508</t>
  </si>
  <si>
    <t>Ongkos</t>
  </si>
  <si>
    <t>0514/PPA-VIII/16</t>
  </si>
  <si>
    <t>010.033-16.10746509</t>
  </si>
  <si>
    <t>Sewa 1 Agst 16 sd 31 Agst 16</t>
  </si>
  <si>
    <t>0517/PPA-IX/16</t>
  </si>
  <si>
    <t>010.033-16.10746512</t>
  </si>
  <si>
    <t>Dharma Eka Abada</t>
  </si>
  <si>
    <t>0518/PPA-IX/16</t>
  </si>
  <si>
    <t>010.033-16.10746513</t>
  </si>
  <si>
    <t>0519/PPA-IX/16</t>
  </si>
  <si>
    <t>010.033-16.10746514</t>
  </si>
  <si>
    <t>0520/PPA-IX/16</t>
  </si>
  <si>
    <t>010.033-16.10746515</t>
  </si>
  <si>
    <t>4-Okt-16</t>
  </si>
  <si>
    <t>0580/PPA-X/16</t>
  </si>
  <si>
    <t>010.033-16.10746575</t>
  </si>
  <si>
    <t>Sewa 1 Sept 2016 sd 30 Sept 16</t>
  </si>
  <si>
    <t>0581/PPA-X/16</t>
  </si>
  <si>
    <t>010.033-16.10746576</t>
  </si>
  <si>
    <t>0582/PPA-X/16</t>
  </si>
  <si>
    <t>010.033-16.10746577</t>
  </si>
  <si>
    <t>Sewa 1 Sept 2016 sd 18 Sept 16</t>
  </si>
  <si>
    <t>0583/PPA-X/16</t>
  </si>
  <si>
    <t>010.033-16.10746578</t>
  </si>
  <si>
    <t>0688/PPA-XI/16</t>
  </si>
  <si>
    <t>010.034-16.13302548</t>
  </si>
  <si>
    <t>Living Plaza po I</t>
  </si>
  <si>
    <t>Sewa 1 Okt 2016 sd 31 Okt 2016</t>
  </si>
  <si>
    <t>0689/PPA-XI/16</t>
  </si>
  <si>
    <t>010.034-16.13302549</t>
  </si>
  <si>
    <t>Living Plaza po III</t>
  </si>
  <si>
    <t>0690/PPA-XI/16</t>
  </si>
  <si>
    <t>010.034-16.13302550</t>
  </si>
  <si>
    <t>Living Plaza po V</t>
  </si>
  <si>
    <t>0726/PPA-XI/16</t>
  </si>
  <si>
    <t>010.034-16.13302586</t>
  </si>
  <si>
    <t>Living Plaza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</si>
</sst>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/mm/yy"/>
    <numFmt numFmtId="166" formatCode="d/m/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 Unicode MS"/>
      <family val="2"/>
    </font>
    <font>
      <sz val="11"/>
      <color rgb="FF000000"/>
      <name val="Comic Sans MS"/>
      <family val="2"/>
    </font>
    <font>
      <sz val="11"/>
      <color rgb="FF000000"/>
      <name val="Calibri"/>
      <family val="2"/>
    </font>
    <font>
      <b/>
      <sz val="11"/>
      <color rgb="FF000000"/>
      <name val="Comic Sans MS"/>
      <family val="2"/>
    </font>
    <font>
      <b/>
      <sz val="11"/>
      <color rgb="FFC00000"/>
      <name val="Comic Sans MS"/>
      <family val="2"/>
    </font>
    <font>
      <sz val="11"/>
      <color rgb="FFC00000"/>
      <name val="Comic Sans MS"/>
      <family val="2"/>
    </font>
    <font>
      <sz val="11"/>
      <color rgb="FF0070C0"/>
      <name val="Comic Sans MS"/>
      <family val="2"/>
    </font>
    <font>
      <b/>
      <sz val="11"/>
      <color rgb="FF000000"/>
      <name val="Arial Unicode MS"/>
      <family val="2"/>
    </font>
    <font>
      <sz val="10"/>
      <color rgb="FF000000"/>
      <name val="Comic Sans MS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</patternFill>
    </fill>
    <fill>
      <patternFill patternType="solid">
        <fgColor rgb="FFC3D69B"/>
      </patternFill>
    </fill>
    <fill>
      <patternFill patternType="solid">
        <fgColor rgb="FFB9CDE5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95B3D7"/>
      </patternFill>
    </fill>
    <fill>
      <patternFill patternType="solid">
        <fgColor rgb="FFD7E4BD"/>
      </patternFill>
    </fill>
    <fill>
      <patternFill patternType="solid">
        <fgColor rgb="FFFAC09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1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3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1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left"/>
    </xf>
    <xf numFmtId="4" fontId="2" fillId="2" borderId="2" xfId="0" applyNumberFormat="1" applyFont="1" applyFill="1" applyBorder="1" applyAlignment="1">
      <alignment horizontal="left"/>
    </xf>
    <xf numFmtId="15" fontId="3" fillId="0" borderId="3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3" fontId="3" fillId="0" borderId="4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15" fontId="3" fillId="0" borderId="6" xfId="0" applyNumberFormat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3" fontId="3" fillId="0" borderId="7" xfId="0" applyNumberFormat="1" applyFont="1" applyBorder="1" applyAlignment="1">
      <alignment horizontal="left"/>
    </xf>
    <xf numFmtId="3" fontId="3" fillId="0" borderId="7" xfId="0" applyNumberFormat="1" applyFont="1" applyBorder="1" applyAlignment="1">
      <alignment horizontal="right"/>
    </xf>
    <xf numFmtId="15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3" fontId="3" fillId="3" borderId="2" xfId="0" applyNumberFormat="1" applyFont="1" applyFill="1" applyBorder="1" applyAlignment="1">
      <alignment horizontal="left"/>
    </xf>
    <xf numFmtId="3" fontId="3" fillId="3" borderId="2" xfId="0" applyNumberFormat="1" applyFont="1" applyFill="1" applyBorder="1" applyAlignment="1">
      <alignment horizontal="right"/>
    </xf>
    <xf numFmtId="14" fontId="4" fillId="3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4" fontId="4" fillId="3" borderId="2" xfId="0" applyNumberFormat="1" applyFont="1" applyFill="1" applyBorder="1" applyAlignment="1">
      <alignment horizontal="left"/>
    </xf>
    <xf numFmtId="4" fontId="3" fillId="0" borderId="4" xfId="0" applyNumberFormat="1" applyFont="1" applyBorder="1" applyAlignment="1">
      <alignment horizontal="right"/>
    </xf>
    <xf numFmtId="15" fontId="3" fillId="4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3" fontId="3" fillId="4" borderId="2" xfId="0" applyNumberFormat="1" applyFont="1" applyFill="1" applyBorder="1" applyAlignment="1">
      <alignment horizontal="left"/>
    </xf>
    <xf numFmtId="3" fontId="3" fillId="4" borderId="2" xfId="0" applyNumberFormat="1" applyFont="1" applyFill="1" applyBorder="1" applyAlignment="1">
      <alignment horizontal="right"/>
    </xf>
    <xf numFmtId="14" fontId="4" fillId="4" borderId="2" xfId="0" applyNumberFormat="1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4" fontId="4" fillId="4" borderId="2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4" fontId="3" fillId="0" borderId="5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3" fontId="3" fillId="0" borderId="3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3" fontId="3" fillId="0" borderId="2" xfId="0" applyNumberFormat="1" applyFont="1" applyBorder="1" applyAlignment="1">
      <alignment horizontal="right"/>
    </xf>
    <xf numFmtId="14" fontId="4" fillId="0" borderId="1" xfId="0" applyNumberFormat="1" applyFont="1" applyBorder="1" applyAlignment="1">
      <alignment horizontal="left"/>
    </xf>
    <xf numFmtId="14" fontId="5" fillId="5" borderId="9" xfId="0" applyNumberFormat="1" applyFont="1" applyFill="1" applyBorder="1" applyAlignment="1">
      <alignment horizontal="left"/>
    </xf>
    <xf numFmtId="164" fontId="3" fillId="0" borderId="2" xfId="0" applyNumberFormat="1" applyFont="1" applyBorder="1" applyAlignment="1">
      <alignment horizontal="right"/>
    </xf>
    <xf numFmtId="16" fontId="3" fillId="0" borderId="3" xfId="0" applyNumberFormat="1" applyFont="1" applyBorder="1" applyAlignment="1">
      <alignment horizontal="left"/>
    </xf>
    <xf numFmtId="15" fontId="3" fillId="3" borderId="9" xfId="0" applyNumberFormat="1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3" fontId="3" fillId="3" borderId="9" xfId="0" applyNumberFormat="1" applyFont="1" applyFill="1" applyBorder="1" applyAlignment="1">
      <alignment horizontal="left"/>
    </xf>
    <xf numFmtId="14" fontId="4" fillId="3" borderId="10" xfId="0" applyNumberFormat="1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3" fontId="6" fillId="0" borderId="3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3" fontId="3" fillId="0" borderId="6" xfId="0" applyNumberFormat="1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4" fontId="3" fillId="3" borderId="2" xfId="0" applyNumberFormat="1" applyFont="1" applyFill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3" fontId="5" fillId="5" borderId="9" xfId="0" applyNumberFormat="1" applyFont="1" applyFill="1" applyBorder="1" applyAlignment="1">
      <alignment horizontal="right"/>
    </xf>
    <xf numFmtId="3" fontId="5" fillId="6" borderId="9" xfId="0" applyNumberFormat="1" applyFont="1" applyFill="1" applyBorder="1" applyAlignment="1">
      <alignment horizontal="right"/>
    </xf>
    <xf numFmtId="3" fontId="3" fillId="5" borderId="9" xfId="0" applyNumberFormat="1" applyFont="1" applyFill="1" applyBorder="1" applyAlignment="1">
      <alignment horizontal="right"/>
    </xf>
    <xf numFmtId="15" fontId="7" fillId="5" borderId="9" xfId="0" applyNumberFormat="1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3" fontId="7" fillId="5" borderId="9" xfId="0" applyNumberFormat="1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3" fontId="7" fillId="0" borderId="2" xfId="0" applyNumberFormat="1" applyFont="1" applyBorder="1" applyAlignment="1">
      <alignment horizontal="right"/>
    </xf>
    <xf numFmtId="3" fontId="7" fillId="5" borderId="2" xfId="0" applyNumberFormat="1" applyFont="1" applyFill="1" applyBorder="1" applyAlignment="1">
      <alignment horizontal="right"/>
    </xf>
    <xf numFmtId="15" fontId="3" fillId="5" borderId="9" xfId="0" applyNumberFormat="1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3" fontId="3" fillId="5" borderId="9" xfId="0" applyNumberFormat="1" applyFont="1" applyFill="1" applyBorder="1" applyAlignment="1">
      <alignment horizontal="left"/>
    </xf>
    <xf numFmtId="3" fontId="3" fillId="5" borderId="2" xfId="0" applyNumberFormat="1" applyFont="1" applyFill="1" applyBorder="1" applyAlignment="1">
      <alignment horizontal="right"/>
    </xf>
    <xf numFmtId="1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14" fontId="0" fillId="0" borderId="0" xfId="0" applyNumberFormat="1"/>
    <xf numFmtId="4" fontId="0" fillId="0" borderId="0" xfId="0" applyNumberFormat="1"/>
    <xf numFmtId="3" fontId="4" fillId="0" borderId="1" xfId="0" applyNumberFormat="1" applyFont="1" applyBorder="1" applyAlignment="1">
      <alignment horizontal="right"/>
    </xf>
    <xf numFmtId="15" fontId="3" fillId="0" borderId="2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3" fontId="4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5" fontId="3" fillId="5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1" fontId="4" fillId="0" borderId="2" xfId="0" applyNumberFormat="1" applyFont="1" applyBorder="1" applyAlignment="1">
      <alignment horizontal="left"/>
    </xf>
    <xf numFmtId="1" fontId="7" fillId="5" borderId="2" xfId="0" applyNumberFormat="1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15" fontId="7" fillId="5" borderId="2" xfId="0" applyNumberFormat="1" applyFont="1" applyFill="1" applyBorder="1" applyAlignment="1">
      <alignment horizontal="left"/>
    </xf>
    <xf numFmtId="1" fontId="3" fillId="5" borderId="2" xfId="0" applyNumberFormat="1" applyFont="1" applyFill="1" applyBorder="1" applyAlignment="1">
      <alignment horizontal="left"/>
    </xf>
    <xf numFmtId="1" fontId="7" fillId="7" borderId="2" xfId="0" applyNumberFormat="1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3" fontId="7" fillId="7" borderId="2" xfId="0" applyNumberFormat="1" applyFont="1" applyFill="1" applyBorder="1" applyAlignment="1">
      <alignment horizontal="right"/>
    </xf>
    <xf numFmtId="14" fontId="4" fillId="7" borderId="2" xfId="0" applyNumberFormat="1" applyFont="1" applyFill="1" applyBorder="1" applyAlignment="1">
      <alignment horizontal="left"/>
    </xf>
    <xf numFmtId="3" fontId="4" fillId="7" borderId="2" xfId="0" applyNumberFormat="1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3" fontId="4" fillId="3" borderId="2" xfId="0" applyNumberFormat="1" applyFont="1" applyFill="1" applyBorder="1" applyAlignment="1">
      <alignment horizontal="left"/>
    </xf>
    <xf numFmtId="15" fontId="3" fillId="8" borderId="2" xfId="0" applyNumberFormat="1" applyFont="1" applyFill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3" fontId="3" fillId="8" borderId="2" xfId="0" applyNumberFormat="1" applyFont="1" applyFill="1" applyBorder="1" applyAlignment="1">
      <alignment horizontal="right"/>
    </xf>
    <xf numFmtId="14" fontId="4" fillId="8" borderId="2" xfId="0" applyNumberFormat="1" applyFont="1" applyFill="1" applyBorder="1" applyAlignment="1">
      <alignment horizontal="left"/>
    </xf>
    <xf numFmtId="3" fontId="4" fillId="8" borderId="2" xfId="0" applyNumberFormat="1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1" fontId="3" fillId="8" borderId="2" xfId="0" applyNumberFormat="1" applyFont="1" applyFill="1" applyBorder="1" applyAlignment="1">
      <alignment horizontal="left"/>
    </xf>
    <xf numFmtId="3" fontId="4" fillId="3" borderId="2" xfId="0" applyNumberFormat="1" applyFont="1" applyFill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3" fontId="4" fillId="4" borderId="2" xfId="0" applyNumberFormat="1" applyFont="1" applyFill="1" applyBorder="1" applyAlignment="1">
      <alignment horizontal="right"/>
    </xf>
    <xf numFmtId="3" fontId="4" fillId="4" borderId="2" xfId="0" applyNumberFormat="1" applyFont="1" applyFill="1" applyBorder="1" applyAlignment="1">
      <alignment horizontal="left"/>
    </xf>
    <xf numFmtId="3" fontId="3" fillId="3" borderId="9" xfId="0" applyNumberFormat="1" applyFont="1" applyFill="1" applyBorder="1" applyAlignment="1">
      <alignment horizontal="right"/>
    </xf>
    <xf numFmtId="15" fontId="5" fillId="5" borderId="9" xfId="0" applyNumberFormat="1" applyFont="1" applyFill="1" applyBorder="1" applyAlignment="1">
      <alignment horizontal="left"/>
    </xf>
    <xf numFmtId="0" fontId="5" fillId="5" borderId="9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3" fontId="3" fillId="3" borderId="13" xfId="0" applyNumberFormat="1" applyFont="1" applyFill="1" applyBorder="1" applyAlignment="1">
      <alignment horizontal="right"/>
    </xf>
    <xf numFmtId="15" fontId="8" fillId="5" borderId="2" xfId="0" applyNumberFormat="1" applyFont="1" applyFill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3" fontId="8" fillId="0" borderId="2" xfId="0" applyNumberFormat="1" applyFont="1" applyBorder="1" applyAlignment="1">
      <alignment horizontal="right"/>
    </xf>
    <xf numFmtId="1" fontId="3" fillId="4" borderId="2" xfId="0" applyNumberFormat="1" applyFont="1" applyFill="1" applyBorder="1" applyAlignment="1">
      <alignment horizontal="left"/>
    </xf>
    <xf numFmtId="15" fontId="3" fillId="7" borderId="2" xfId="0" applyNumberFormat="1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3" fontId="3" fillId="7" borderId="2" xfId="0" applyNumberFormat="1" applyFont="1" applyFill="1" applyBorder="1" applyAlignment="1">
      <alignment horizontal="right"/>
    </xf>
    <xf numFmtId="3" fontId="0" fillId="0" borderId="0" xfId="0" applyNumberFormat="1"/>
    <xf numFmtId="1" fontId="9" fillId="2" borderId="14" xfId="0" applyNumberFormat="1" applyFont="1" applyFill="1" applyBorder="1" applyAlignment="1">
      <alignment horizontal="left"/>
    </xf>
    <xf numFmtId="0" fontId="9" fillId="2" borderId="15" xfId="0" applyFont="1" applyFill="1" applyBorder="1" applyAlignment="1">
      <alignment horizontal="left"/>
    </xf>
    <xf numFmtId="3" fontId="9" fillId="2" borderId="15" xfId="0" applyNumberFormat="1" applyFont="1" applyFill="1" applyBorder="1" applyAlignment="1">
      <alignment horizontal="left"/>
    </xf>
    <xf numFmtId="0" fontId="9" fillId="2" borderId="16" xfId="0" applyFont="1" applyFill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15" fontId="5" fillId="5" borderId="17" xfId="0" applyNumberFormat="1" applyFont="1" applyFill="1" applyBorder="1" applyAlignment="1">
      <alignment horizontal="left"/>
    </xf>
    <xf numFmtId="0" fontId="5" fillId="5" borderId="17" xfId="0" applyFont="1" applyFill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5" borderId="18" xfId="0" applyFont="1" applyFill="1" applyBorder="1" applyAlignment="1">
      <alignment horizontal="left"/>
    </xf>
    <xf numFmtId="3" fontId="5" fillId="0" borderId="11" xfId="0" applyNumberFormat="1" applyFont="1" applyBorder="1" applyAlignment="1">
      <alignment horizontal="right"/>
    </xf>
    <xf numFmtId="15" fontId="5" fillId="0" borderId="2" xfId="0" applyNumberFormat="1" applyFont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15" fontId="5" fillId="0" borderId="11" xfId="0" applyNumberFormat="1" applyFont="1" applyBorder="1" applyAlignment="1">
      <alignment horizontal="left"/>
    </xf>
    <xf numFmtId="1" fontId="5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5" fontId="3" fillId="0" borderId="11" xfId="0" applyNumberFormat="1" applyFont="1" applyBorder="1" applyAlignment="1">
      <alignment horizontal="left"/>
    </xf>
    <xf numFmtId="0" fontId="3" fillId="5" borderId="17" xfId="0" applyFont="1" applyFill="1" applyBorder="1" applyAlignment="1">
      <alignment horizontal="left"/>
    </xf>
    <xf numFmtId="0" fontId="10" fillId="0" borderId="11" xfId="0" applyFont="1" applyBorder="1" applyAlignment="1">
      <alignment horizontal="left"/>
    </xf>
    <xf numFmtId="1" fontId="0" fillId="0" borderId="0" xfId="0" applyNumberFormat="1"/>
    <xf numFmtId="3" fontId="9" fillId="2" borderId="16" xfId="0" applyNumberFormat="1" applyFont="1" applyFill="1" applyBorder="1" applyAlignment="1">
      <alignment horizontal="left"/>
    </xf>
    <xf numFmtId="0" fontId="5" fillId="0" borderId="6" xfId="0" applyFont="1" applyBorder="1" applyAlignment="1">
      <alignment horizontal="left"/>
    </xf>
    <xf numFmtId="3" fontId="5" fillId="0" borderId="6" xfId="0" applyNumberFormat="1" applyFont="1" applyBorder="1" applyAlignment="1">
      <alignment horizontal="right"/>
    </xf>
    <xf numFmtId="0" fontId="5" fillId="5" borderId="16" xfId="0" applyFont="1" applyFill="1" applyBorder="1" applyAlignment="1">
      <alignment horizontal="left"/>
    </xf>
    <xf numFmtId="0" fontId="5" fillId="0" borderId="19" xfId="0" applyFont="1" applyBorder="1" applyAlignment="1">
      <alignment horizontal="left"/>
    </xf>
    <xf numFmtId="3" fontId="5" fillId="0" borderId="19" xfId="0" applyNumberFormat="1" applyFont="1" applyBorder="1" applyAlignment="1">
      <alignment horizontal="right"/>
    </xf>
    <xf numFmtId="1" fontId="3" fillId="0" borderId="11" xfId="0" applyNumberFormat="1" applyFont="1" applyBorder="1" applyAlignment="1">
      <alignment horizontal="left"/>
    </xf>
    <xf numFmtId="15" fontId="5" fillId="5" borderId="2" xfId="0" applyNumberFormat="1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15" fontId="6" fillId="5" borderId="17" xfId="0" applyNumberFormat="1" applyFont="1" applyFill="1" applyBorder="1" applyAlignment="1">
      <alignment horizontal="left"/>
    </xf>
    <xf numFmtId="0" fontId="6" fillId="5" borderId="17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3" fontId="6" fillId="0" borderId="6" xfId="0" applyNumberFormat="1" applyFont="1" applyBorder="1" applyAlignment="1">
      <alignment horizontal="right"/>
    </xf>
    <xf numFmtId="15" fontId="5" fillId="0" borderId="6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3" fontId="5" fillId="0" borderId="7" xfId="0" applyNumberFormat="1" applyFont="1" applyBorder="1" applyAlignment="1">
      <alignment horizontal="right"/>
    </xf>
    <xf numFmtId="15" fontId="5" fillId="0" borderId="3" xfId="0" applyNumberFormat="1" applyFont="1" applyBorder="1" applyAlignment="1">
      <alignment horizontal="left"/>
    </xf>
    <xf numFmtId="0" fontId="5" fillId="5" borderId="12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3" fontId="5" fillId="0" borderId="4" xfId="0" applyNumberFormat="1" applyFont="1" applyBorder="1" applyAlignment="1">
      <alignment horizontal="right"/>
    </xf>
    <xf numFmtId="1" fontId="5" fillId="0" borderId="11" xfId="0" applyNumberFormat="1" applyFont="1" applyBorder="1" applyAlignment="1">
      <alignment horizontal="left"/>
    </xf>
    <xf numFmtId="15" fontId="5" fillId="5" borderId="18" xfId="0" applyNumberFormat="1" applyFont="1" applyFill="1" applyBorder="1" applyAlignment="1">
      <alignment horizontal="left"/>
    </xf>
    <xf numFmtId="3" fontId="5" fillId="5" borderId="16" xfId="0" applyNumberFormat="1" applyFont="1" applyFill="1" applyBorder="1" applyAlignment="1">
      <alignment horizontal="right"/>
    </xf>
    <xf numFmtId="3" fontId="5" fillId="5" borderId="12" xfId="0" applyNumberFormat="1" applyFont="1" applyFill="1" applyBorder="1" applyAlignment="1">
      <alignment horizontal="right"/>
    </xf>
    <xf numFmtId="0" fontId="3" fillId="5" borderId="12" xfId="0" applyFont="1" applyFill="1" applyBorder="1" applyAlignment="1">
      <alignment horizontal="left"/>
    </xf>
    <xf numFmtId="0" fontId="3" fillId="5" borderId="13" xfId="0" applyFont="1" applyFill="1" applyBorder="1" applyAlignment="1">
      <alignment horizontal="left"/>
    </xf>
    <xf numFmtId="3" fontId="3" fillId="5" borderId="13" xfId="0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left"/>
    </xf>
    <xf numFmtId="3" fontId="3" fillId="5" borderId="12" xfId="0" applyNumberFormat="1" applyFont="1" applyFill="1" applyBorder="1" applyAlignment="1">
      <alignment horizontal="right"/>
    </xf>
    <xf numFmtId="15" fontId="3" fillId="5" borderId="17" xfId="0" applyNumberFormat="1" applyFont="1" applyFill="1" applyBorder="1" applyAlignment="1">
      <alignment horizontal="left"/>
    </xf>
    <xf numFmtId="0" fontId="3" fillId="5" borderId="16" xfId="0" applyFont="1" applyFill="1" applyBorder="1" applyAlignment="1">
      <alignment horizontal="left"/>
    </xf>
    <xf numFmtId="3" fontId="3" fillId="5" borderId="16" xfId="0" applyNumberFormat="1" applyFont="1" applyFill="1" applyBorder="1" applyAlignment="1">
      <alignment horizontal="right"/>
    </xf>
    <xf numFmtId="3" fontId="5" fillId="5" borderId="2" xfId="0" applyNumberFormat="1" applyFont="1" applyFill="1" applyBorder="1" applyAlignment="1">
      <alignment horizontal="right"/>
    </xf>
    <xf numFmtId="166" fontId="4" fillId="0" borderId="1" xfId="0" applyNumberFormat="1" applyFont="1" applyBorder="1" applyAlignment="1">
      <alignment horizontal="left"/>
    </xf>
    <xf numFmtId="3" fontId="5" fillId="5" borderId="18" xfId="0" applyNumberFormat="1" applyFont="1" applyFill="1" applyBorder="1" applyAlignment="1">
      <alignment horizontal="right"/>
    </xf>
    <xf numFmtId="166" fontId="4" fillId="0" borderId="2" xfId="0" applyNumberFormat="1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3" fontId="11" fillId="0" borderId="2" xfId="0" applyNumberFormat="1" applyFont="1" applyBorder="1" applyAlignment="1">
      <alignment horizontal="left"/>
    </xf>
    <xf numFmtId="15" fontId="6" fillId="5" borderId="2" xfId="0" applyNumberFormat="1" applyFont="1" applyFill="1" applyBorder="1" applyAlignment="1">
      <alignment horizontal="left"/>
    </xf>
    <xf numFmtId="0" fontId="6" fillId="5" borderId="9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3" fontId="6" fillId="5" borderId="2" xfId="0" applyNumberFormat="1" applyFont="1" applyFill="1" applyBorder="1" applyAlignment="1">
      <alignment horizontal="right"/>
    </xf>
    <xf numFmtId="15" fontId="6" fillId="5" borderId="18" xfId="0" applyNumberFormat="1" applyFont="1" applyFill="1" applyBorder="1" applyAlignment="1">
      <alignment horizontal="left"/>
    </xf>
    <xf numFmtId="0" fontId="6" fillId="5" borderId="18" xfId="0" applyFont="1" applyFill="1" applyBorder="1" applyAlignment="1">
      <alignment horizontal="left"/>
    </xf>
    <xf numFmtId="3" fontId="6" fillId="5" borderId="18" xfId="0" applyNumberFormat="1" applyFont="1" applyFill="1" applyBorder="1" applyAlignment="1">
      <alignment horizontal="right"/>
    </xf>
    <xf numFmtId="1" fontId="3" fillId="5" borderId="18" xfId="0" applyNumberFormat="1" applyFont="1" applyFill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3" fontId="3" fillId="5" borderId="18" xfId="0" applyNumberFormat="1" applyFont="1" applyFill="1" applyBorder="1" applyAlignment="1">
      <alignment horizontal="right"/>
    </xf>
    <xf numFmtId="15" fontId="3" fillId="5" borderId="18" xfId="0" applyNumberFormat="1" applyFont="1" applyFill="1" applyBorder="1" applyAlignment="1">
      <alignment horizontal="left"/>
    </xf>
    <xf numFmtId="3" fontId="3" fillId="5" borderId="18" xfId="0" applyNumberFormat="1" applyFont="1" applyFill="1" applyBorder="1" applyAlignment="1">
      <alignment horizontal="left"/>
    </xf>
    <xf numFmtId="1" fontId="5" fillId="5" borderId="18" xfId="0" applyNumberFormat="1" applyFont="1" applyFill="1" applyBorder="1" applyAlignment="1">
      <alignment horizontal="left"/>
    </xf>
    <xf numFmtId="1" fontId="9" fillId="2" borderId="8" xfId="0" applyNumberFormat="1" applyFont="1" applyFill="1" applyBorder="1" applyAlignment="1">
      <alignment horizontal="left"/>
    </xf>
    <xf numFmtId="0" fontId="9" fillId="2" borderId="20" xfId="0" applyFont="1" applyFill="1" applyBorder="1" applyAlignment="1">
      <alignment horizontal="left"/>
    </xf>
    <xf numFmtId="3" fontId="9" fillId="2" borderId="20" xfId="0" applyNumberFormat="1" applyFont="1" applyFill="1" applyBorder="1" applyAlignment="1">
      <alignment horizontal="left"/>
    </xf>
    <xf numFmtId="14" fontId="9" fillId="2" borderId="16" xfId="0" applyNumberFormat="1" applyFont="1" applyFill="1" applyBorder="1" applyAlignment="1">
      <alignment horizontal="left"/>
    </xf>
    <xf numFmtId="4" fontId="9" fillId="2" borderId="16" xfId="0" applyNumberFormat="1" applyFont="1" applyFill="1" applyBorder="1" applyAlignment="1">
      <alignment horizontal="left"/>
    </xf>
    <xf numFmtId="3" fontId="3" fillId="0" borderId="6" xfId="0" applyNumberFormat="1" applyFont="1" applyBorder="1" applyAlignment="1">
      <alignment horizontal="right"/>
    </xf>
    <xf numFmtId="14" fontId="11" fillId="0" borderId="1" xfId="0" applyNumberFormat="1" applyFont="1" applyBorder="1" applyAlignment="1">
      <alignment horizontal="left"/>
    </xf>
    <xf numFmtId="3" fontId="11" fillId="0" borderId="1" xfId="0" applyNumberFormat="1" applyFont="1" applyBorder="1" applyAlignment="1">
      <alignment horizontal="left"/>
    </xf>
    <xf numFmtId="4" fontId="11" fillId="0" borderId="1" xfId="0" applyNumberFormat="1" applyFont="1" applyBorder="1" applyAlignment="1">
      <alignment horizontal="left"/>
    </xf>
    <xf numFmtId="14" fontId="11" fillId="3" borderId="2" xfId="0" applyNumberFormat="1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3" fontId="11" fillId="3" borderId="2" xfId="0" applyNumberFormat="1" applyFont="1" applyFill="1" applyBorder="1" applyAlignment="1">
      <alignment horizontal="left"/>
    </xf>
    <xf numFmtId="4" fontId="11" fillId="3" borderId="2" xfId="0" applyNumberFormat="1" applyFont="1" applyFill="1" applyBorder="1" applyAlignment="1">
      <alignment horizontal="left"/>
    </xf>
    <xf numFmtId="166" fontId="5" fillId="0" borderId="2" xfId="0" applyNumberFormat="1" applyFont="1" applyBorder="1" applyAlignment="1">
      <alignment horizontal="left"/>
    </xf>
    <xf numFmtId="17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166" fontId="5" fillId="0" borderId="1" xfId="0" applyNumberFormat="1" applyFont="1" applyBorder="1" applyAlignment="1">
      <alignment horizontal="left"/>
    </xf>
    <xf numFmtId="166" fontId="5" fillId="0" borderId="11" xfId="0" applyNumberFormat="1" applyFont="1" applyBorder="1" applyAlignment="1">
      <alignment horizontal="left"/>
    </xf>
    <xf numFmtId="166" fontId="11" fillId="0" borderId="1" xfId="0" applyNumberFormat="1" applyFont="1" applyBorder="1" applyAlignment="1">
      <alignment horizontal="left"/>
    </xf>
    <xf numFmtId="1" fontId="3" fillId="0" borderId="2" xfId="0" applyNumberFormat="1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3" fontId="4" fillId="6" borderId="10" xfId="0" applyNumberFormat="1" applyFont="1" applyFill="1" applyBorder="1" applyAlignment="1">
      <alignment horizontal="right"/>
    </xf>
    <xf numFmtId="4" fontId="4" fillId="6" borderId="10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0" fontId="5" fillId="5" borderId="13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3" fontId="5" fillId="0" borderId="5" xfId="0" applyNumberFormat="1" applyFont="1" applyBorder="1" applyAlignment="1">
      <alignment horizontal="right"/>
    </xf>
    <xf numFmtId="1" fontId="5" fillId="0" borderId="2" xfId="0" applyNumberFormat="1" applyFont="1" applyBorder="1" applyAlignment="1">
      <alignment horizontal="right"/>
    </xf>
    <xf numFmtId="1" fontId="9" fillId="9" borderId="8" xfId="0" applyNumberFormat="1" applyFont="1" applyFill="1" applyBorder="1" applyAlignment="1">
      <alignment horizontal="left"/>
    </xf>
    <xf numFmtId="0" fontId="9" fillId="9" borderId="20" xfId="0" applyFont="1" applyFill="1" applyBorder="1" applyAlignment="1">
      <alignment horizontal="left"/>
    </xf>
    <xf numFmtId="3" fontId="9" fillId="9" borderId="20" xfId="0" applyNumberFormat="1" applyFont="1" applyFill="1" applyBorder="1" applyAlignment="1">
      <alignment horizontal="left"/>
    </xf>
    <xf numFmtId="0" fontId="9" fillId="9" borderId="16" xfId="0" applyFont="1" applyFill="1" applyBorder="1" applyAlignment="1">
      <alignment horizontal="left"/>
    </xf>
    <xf numFmtId="3" fontId="9" fillId="9" borderId="16" xfId="0" applyNumberFormat="1" applyFont="1" applyFill="1" applyBorder="1" applyAlignment="1">
      <alignment horizontal="left"/>
    </xf>
    <xf numFmtId="1" fontId="2" fillId="0" borderId="7" xfId="0" applyNumberFormat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15" fontId="2" fillId="0" borderId="11" xfId="0" applyNumberFormat="1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3" fontId="2" fillId="0" borderId="11" xfId="0" applyNumberFormat="1" applyFont="1" applyBorder="1" applyAlignment="1">
      <alignment horizontal="right"/>
    </xf>
    <xf numFmtId="15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1" fontId="9" fillId="0" borderId="2" xfId="0" applyNumberFormat="1" applyFont="1" applyBorder="1" applyAlignment="1">
      <alignment horizontal="left"/>
    </xf>
    <xf numFmtId="0" fontId="9" fillId="5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3" fontId="9" fillId="0" borderId="2" xfId="0" applyNumberFormat="1" applyFont="1" applyBorder="1" applyAlignment="1">
      <alignment horizontal="right"/>
    </xf>
    <xf numFmtId="1" fontId="9" fillId="0" borderId="11" xfId="0" applyNumberFormat="1" applyFont="1" applyBorder="1" applyAlignment="1">
      <alignment horizontal="left"/>
    </xf>
    <xf numFmtId="0" fontId="9" fillId="5" borderId="18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3" fontId="9" fillId="0" borderId="11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1" fontId="2" fillId="0" borderId="11" xfId="0" applyNumberFormat="1" applyFont="1" applyBorder="1" applyAlignment="1">
      <alignment horizontal="left"/>
    </xf>
    <xf numFmtId="0" fontId="2" fillId="5" borderId="18" xfId="0" applyFont="1" applyFill="1" applyBorder="1" applyAlignment="1">
      <alignment horizontal="left"/>
    </xf>
    <xf numFmtId="15" fontId="2" fillId="0" borderId="3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1" fontId="9" fillId="0" borderId="3" xfId="0" applyNumberFormat="1" applyFont="1" applyBorder="1" applyAlignment="1">
      <alignment horizontal="left"/>
    </xf>
    <xf numFmtId="0" fontId="9" fillId="0" borderId="4" xfId="0" applyFont="1" applyBorder="1" applyAlignment="1">
      <alignment horizontal="left"/>
    </xf>
    <xf numFmtId="3" fontId="9" fillId="0" borderId="4" xfId="0" applyNumberFormat="1" applyFont="1" applyBorder="1" applyAlignment="1">
      <alignment horizontal="right"/>
    </xf>
    <xf numFmtId="1" fontId="9" fillId="0" borderId="6" xfId="0" applyNumberFormat="1" applyFont="1" applyBorder="1" applyAlignment="1">
      <alignment horizontal="left"/>
    </xf>
    <xf numFmtId="0" fontId="9" fillId="0" borderId="7" xfId="0" applyFont="1" applyBorder="1" applyAlignment="1">
      <alignment horizontal="left"/>
    </xf>
    <xf numFmtId="3" fontId="9" fillId="0" borderId="7" xfId="0" applyNumberFormat="1" applyFont="1" applyBorder="1" applyAlignment="1">
      <alignment horizontal="right"/>
    </xf>
    <xf numFmtId="1" fontId="2" fillId="0" borderId="3" xfId="0" applyNumberFormat="1" applyFont="1" applyBorder="1" applyAlignment="1">
      <alignment horizontal="left"/>
    </xf>
    <xf numFmtId="15" fontId="2" fillId="0" borderId="6" xfId="0" applyNumberFormat="1" applyFont="1" applyBorder="1" applyAlignment="1">
      <alignment horizontal="left"/>
    </xf>
    <xf numFmtId="3" fontId="2" fillId="0" borderId="7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3" fontId="2" fillId="0" borderId="5" xfId="0" applyNumberFormat="1" applyFont="1" applyBorder="1" applyAlignment="1">
      <alignment horizontal="right"/>
    </xf>
    <xf numFmtId="1" fontId="2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31"/>
  <sheetViews>
    <sheetView workbookViewId="0"/>
  </sheetViews>
  <sheetFormatPr baseColWidth="10" defaultColWidth="8.83203125" defaultRowHeight="15" x14ac:dyDescent="0.2"/>
  <cols>
    <col min="1" max="1" width="12.5" style="78" bestFit="1" customWidth="1"/>
    <col min="2" max="6" width="12.5" style="2" bestFit="1" customWidth="1"/>
    <col min="7" max="7" width="14.6640625" style="80" bestFit="1" customWidth="1"/>
    <col min="8" max="8" width="14.83203125" style="80" bestFit="1" customWidth="1"/>
    <col min="9" max="12" width="12.5" bestFit="1" customWidth="1"/>
    <col min="13" max="13" width="26" bestFit="1" customWidth="1"/>
  </cols>
  <sheetData>
    <row r="1" spans="1:13" ht="17.25" customHeight="1" x14ac:dyDescent="0.2">
      <c r="A1" s="83">
        <v>2016</v>
      </c>
      <c r="G1" s="3"/>
      <c r="H1" s="3"/>
    </row>
    <row r="2" spans="1:13" ht="17.25" customHeight="1" x14ac:dyDescent="0.2">
      <c r="A2" s="1"/>
      <c r="G2" s="3"/>
      <c r="H2" s="3"/>
    </row>
    <row r="3" spans="1:13" ht="17.25" customHeight="1" x14ac:dyDescent="0.25">
      <c r="A3" s="199" t="s">
        <v>0</v>
      </c>
      <c r="B3" s="200" t="s">
        <v>1</v>
      </c>
      <c r="C3" s="200" t="s">
        <v>2</v>
      </c>
      <c r="D3" s="200" t="s">
        <v>3</v>
      </c>
      <c r="E3" s="200" t="s">
        <v>4</v>
      </c>
      <c r="F3" s="200" t="s">
        <v>5</v>
      </c>
      <c r="G3" s="201" t="s">
        <v>6</v>
      </c>
      <c r="H3" s="201" t="s">
        <v>7</v>
      </c>
      <c r="I3" s="132" t="s">
        <v>8</v>
      </c>
      <c r="J3" s="132" t="s">
        <v>9</v>
      </c>
      <c r="K3" s="132" t="s">
        <v>10</v>
      </c>
      <c r="L3" s="132" t="s">
        <v>11</v>
      </c>
      <c r="M3" s="132" t="s">
        <v>12</v>
      </c>
    </row>
    <row r="4" spans="1:13" ht="17.25" customHeight="1" x14ac:dyDescent="0.25">
      <c r="A4" s="257">
        <v>42522</v>
      </c>
      <c r="B4" s="258" t="s">
        <v>3053</v>
      </c>
      <c r="C4" s="258" t="s">
        <v>3054</v>
      </c>
      <c r="D4" s="258" t="s">
        <v>2828</v>
      </c>
      <c r="E4" s="258" t="s">
        <v>3055</v>
      </c>
      <c r="F4" s="258" t="s">
        <v>3056</v>
      </c>
      <c r="G4" s="259">
        <v>5473010</v>
      </c>
      <c r="H4" s="259">
        <v>547301</v>
      </c>
      <c r="I4" s="235" t="s">
        <v>3057</v>
      </c>
    </row>
    <row r="5" spans="1:13" ht="17.25" customHeight="1" x14ac:dyDescent="0.25">
      <c r="A5" s="257"/>
      <c r="B5" s="258"/>
      <c r="C5" s="258"/>
      <c r="D5" s="258"/>
      <c r="E5" s="258"/>
      <c r="F5" s="258"/>
      <c r="G5" s="259"/>
      <c r="H5" s="259"/>
    </row>
    <row r="6" spans="1:13" ht="17.25" customHeight="1" x14ac:dyDescent="0.25">
      <c r="A6" s="260" t="s">
        <v>3058</v>
      </c>
      <c r="B6" s="261" t="s">
        <v>3059</v>
      </c>
      <c r="C6" s="261" t="s">
        <v>3060</v>
      </c>
      <c r="D6" s="261" t="s">
        <v>2828</v>
      </c>
      <c r="E6" s="261" t="s">
        <v>3061</v>
      </c>
      <c r="F6" s="261" t="s">
        <v>3062</v>
      </c>
      <c r="G6" s="262">
        <v>390000</v>
      </c>
      <c r="H6" s="262">
        <v>39000</v>
      </c>
    </row>
    <row r="7" spans="1:13" ht="17.25" customHeight="1" x14ac:dyDescent="0.25">
      <c r="A7" s="260" t="s">
        <v>3058</v>
      </c>
      <c r="B7" s="261" t="s">
        <v>3063</v>
      </c>
      <c r="C7" s="261" t="s">
        <v>3064</v>
      </c>
      <c r="D7" s="261" t="s">
        <v>2828</v>
      </c>
      <c r="E7" s="261" t="s">
        <v>3065</v>
      </c>
      <c r="F7" s="261" t="s">
        <v>3062</v>
      </c>
      <c r="G7" s="262">
        <v>604500</v>
      </c>
      <c r="H7" s="262">
        <v>60450</v>
      </c>
    </row>
    <row r="8" spans="1:13" ht="17.25" customHeight="1" x14ac:dyDescent="0.25">
      <c r="A8" s="260" t="s">
        <v>3058</v>
      </c>
      <c r="B8" s="261" t="s">
        <v>3066</v>
      </c>
      <c r="C8" s="261" t="s">
        <v>3067</v>
      </c>
      <c r="D8" s="261" t="s">
        <v>2828</v>
      </c>
      <c r="E8" s="261" t="s">
        <v>3068</v>
      </c>
      <c r="F8" s="261" t="s">
        <v>3062</v>
      </c>
      <c r="G8" s="262">
        <v>171600</v>
      </c>
      <c r="H8" s="262">
        <v>17160</v>
      </c>
    </row>
    <row r="9" spans="1:13" ht="17.25" customHeight="1" x14ac:dyDescent="0.25">
      <c r="A9" s="260" t="s">
        <v>3058</v>
      </c>
      <c r="B9" s="261" t="s">
        <v>3069</v>
      </c>
      <c r="C9" s="261" t="s">
        <v>3070</v>
      </c>
      <c r="D9" s="261" t="s">
        <v>2828</v>
      </c>
      <c r="E9" s="261" t="s">
        <v>3071</v>
      </c>
      <c r="F9" s="261" t="s">
        <v>3062</v>
      </c>
      <c r="G9" s="262">
        <v>12927900</v>
      </c>
      <c r="H9" s="262">
        <v>1292790</v>
      </c>
    </row>
    <row r="10" spans="1:13" ht="17.25" customHeight="1" x14ac:dyDescent="0.25">
      <c r="A10" s="260" t="s">
        <v>3058</v>
      </c>
      <c r="B10" s="261" t="s">
        <v>3072</v>
      </c>
      <c r="C10" s="261" t="s">
        <v>3073</v>
      </c>
      <c r="D10" s="261" t="s">
        <v>2828</v>
      </c>
      <c r="E10" s="261" t="s">
        <v>3074</v>
      </c>
      <c r="F10" s="261" t="s">
        <v>3062</v>
      </c>
      <c r="G10" s="262">
        <v>1382000</v>
      </c>
      <c r="H10" s="262">
        <v>138200</v>
      </c>
    </row>
    <row r="11" spans="1:13" ht="17.25" customHeight="1" x14ac:dyDescent="0.25">
      <c r="A11" s="263"/>
      <c r="B11" s="264"/>
      <c r="C11" s="264"/>
      <c r="D11" s="264"/>
      <c r="E11" s="264"/>
      <c r="F11" s="264"/>
      <c r="G11" s="265"/>
      <c r="H11" s="265"/>
    </row>
    <row r="12" spans="1:13" ht="17.25" customHeight="1" x14ac:dyDescent="0.25">
      <c r="A12" s="266" t="s">
        <v>3075</v>
      </c>
      <c r="B12" s="258" t="s">
        <v>3076</v>
      </c>
      <c r="C12" s="258" t="s">
        <v>3077</v>
      </c>
      <c r="D12" s="258" t="s">
        <v>2828</v>
      </c>
      <c r="E12" s="258" t="s">
        <v>3074</v>
      </c>
      <c r="F12" s="258" t="s">
        <v>3078</v>
      </c>
      <c r="G12" s="259">
        <v>500000</v>
      </c>
      <c r="H12" s="259">
        <v>50000</v>
      </c>
    </row>
    <row r="13" spans="1:13" ht="17.25" customHeight="1" x14ac:dyDescent="0.25">
      <c r="A13" s="266" t="s">
        <v>3075</v>
      </c>
      <c r="B13" s="258" t="s">
        <v>3079</v>
      </c>
      <c r="C13" s="258" t="s">
        <v>3080</v>
      </c>
      <c r="D13" s="258" t="s">
        <v>2828</v>
      </c>
      <c r="E13" s="258" t="s">
        <v>3074</v>
      </c>
      <c r="F13" s="258" t="s">
        <v>3081</v>
      </c>
      <c r="G13" s="259">
        <v>1382000</v>
      </c>
      <c r="H13" s="259">
        <v>138200</v>
      </c>
    </row>
    <row r="14" spans="1:13" ht="17.25" customHeight="1" x14ac:dyDescent="0.25">
      <c r="A14" s="257">
        <v>42614</v>
      </c>
      <c r="B14" s="258" t="s">
        <v>3082</v>
      </c>
      <c r="C14" s="258" t="s">
        <v>3083</v>
      </c>
      <c r="D14" s="258" t="s">
        <v>3084</v>
      </c>
      <c r="E14" s="258" t="s">
        <v>3061</v>
      </c>
      <c r="F14" s="258" t="s">
        <v>3081</v>
      </c>
      <c r="G14" s="259">
        <v>390000</v>
      </c>
      <c r="H14" s="259">
        <v>39000</v>
      </c>
    </row>
    <row r="15" spans="1:13" ht="17.25" customHeight="1" x14ac:dyDescent="0.25">
      <c r="A15" s="257">
        <v>42614</v>
      </c>
      <c r="B15" s="258" t="s">
        <v>3085</v>
      </c>
      <c r="C15" s="258" t="s">
        <v>3086</v>
      </c>
      <c r="D15" s="258" t="s">
        <v>3084</v>
      </c>
      <c r="E15" s="258" t="s">
        <v>3065</v>
      </c>
      <c r="F15" s="258" t="s">
        <v>3081</v>
      </c>
      <c r="G15" s="259">
        <v>604500</v>
      </c>
      <c r="H15" s="259">
        <v>60450</v>
      </c>
    </row>
    <row r="16" spans="1:13" ht="17.25" customHeight="1" x14ac:dyDescent="0.25">
      <c r="A16" s="257">
        <v>42614</v>
      </c>
      <c r="B16" s="258" t="s">
        <v>3087</v>
      </c>
      <c r="C16" s="258" t="s">
        <v>3088</v>
      </c>
      <c r="D16" s="258" t="s">
        <v>3084</v>
      </c>
      <c r="E16" s="258" t="s">
        <v>3068</v>
      </c>
      <c r="F16" s="258" t="s">
        <v>3081</v>
      </c>
      <c r="G16" s="259">
        <v>171600</v>
      </c>
      <c r="H16" s="259">
        <v>17160</v>
      </c>
    </row>
    <row r="17" spans="1:8" ht="17.25" customHeight="1" x14ac:dyDescent="0.25">
      <c r="A17" s="257">
        <v>42614</v>
      </c>
      <c r="B17" s="258" t="s">
        <v>3089</v>
      </c>
      <c r="C17" s="258" t="s">
        <v>3090</v>
      </c>
      <c r="D17" s="258" t="s">
        <v>3084</v>
      </c>
      <c r="E17" s="258" t="s">
        <v>3071</v>
      </c>
      <c r="F17" s="258" t="s">
        <v>3081</v>
      </c>
      <c r="G17" s="259">
        <v>12927900</v>
      </c>
      <c r="H17" s="259">
        <v>1292790</v>
      </c>
    </row>
    <row r="18" spans="1:8" ht="17.25" customHeight="1" x14ac:dyDescent="0.25">
      <c r="A18" s="267"/>
      <c r="B18" s="235"/>
      <c r="C18" s="235"/>
      <c r="D18" s="235"/>
      <c r="E18" s="235"/>
      <c r="F18" s="235"/>
      <c r="G18" s="268"/>
      <c r="H18" s="268"/>
    </row>
    <row r="19" spans="1:8" ht="17.25" customHeight="1" x14ac:dyDescent="0.25">
      <c r="A19" s="253" t="s">
        <v>3091</v>
      </c>
      <c r="B19" s="269" t="s">
        <v>3092</v>
      </c>
      <c r="C19" s="269" t="s">
        <v>3093</v>
      </c>
      <c r="D19" s="269" t="s">
        <v>2828</v>
      </c>
      <c r="E19" s="269" t="s">
        <v>3061</v>
      </c>
      <c r="F19" s="269" t="s">
        <v>3094</v>
      </c>
      <c r="G19" s="270">
        <v>390000</v>
      </c>
      <c r="H19" s="270">
        <v>39000</v>
      </c>
    </row>
    <row r="20" spans="1:8" ht="17.25" customHeight="1" x14ac:dyDescent="0.25">
      <c r="A20" s="266" t="s">
        <v>3091</v>
      </c>
      <c r="B20" s="258" t="s">
        <v>3095</v>
      </c>
      <c r="C20" s="258" t="s">
        <v>3096</v>
      </c>
      <c r="D20" s="258" t="s">
        <v>2828</v>
      </c>
      <c r="E20" s="258" t="s">
        <v>3065</v>
      </c>
      <c r="F20" s="258" t="s">
        <v>3094</v>
      </c>
      <c r="G20" s="259">
        <v>526500</v>
      </c>
      <c r="H20" s="259">
        <v>52650</v>
      </c>
    </row>
    <row r="21" spans="1:8" ht="17.25" customHeight="1" x14ac:dyDescent="0.25">
      <c r="A21" s="266" t="s">
        <v>3091</v>
      </c>
      <c r="B21" s="258" t="s">
        <v>3097</v>
      </c>
      <c r="C21" s="258" t="s">
        <v>3098</v>
      </c>
      <c r="D21" s="258" t="s">
        <v>2828</v>
      </c>
      <c r="E21" s="258" t="s">
        <v>3068</v>
      </c>
      <c r="F21" s="258" t="s">
        <v>3099</v>
      </c>
      <c r="G21" s="259">
        <v>102960</v>
      </c>
      <c r="H21" s="259">
        <v>10296</v>
      </c>
    </row>
    <row r="22" spans="1:8" ht="17.25" customHeight="1" x14ac:dyDescent="0.25">
      <c r="A22" s="266" t="s">
        <v>3091</v>
      </c>
      <c r="B22" s="258" t="s">
        <v>3100</v>
      </c>
      <c r="C22" s="258" t="s">
        <v>3101</v>
      </c>
      <c r="D22" s="258" t="s">
        <v>2828</v>
      </c>
      <c r="E22" s="258" t="s">
        <v>3071</v>
      </c>
      <c r="F22" s="258" t="s">
        <v>3094</v>
      </c>
      <c r="G22" s="259">
        <v>10747390</v>
      </c>
      <c r="H22" s="259">
        <v>1074739</v>
      </c>
    </row>
    <row r="23" spans="1:8" ht="17.25" customHeight="1" x14ac:dyDescent="0.25">
      <c r="A23" s="266"/>
      <c r="B23" s="258"/>
      <c r="C23" s="258"/>
      <c r="D23" s="258"/>
      <c r="E23" s="258"/>
      <c r="F23" s="258"/>
      <c r="G23" s="259"/>
      <c r="H23" s="259"/>
    </row>
    <row r="24" spans="1:8" ht="17.25" customHeight="1" x14ac:dyDescent="0.25">
      <c r="A24" s="242">
        <v>42677</v>
      </c>
      <c r="B24" s="269" t="s">
        <v>3102</v>
      </c>
      <c r="C24" s="269" t="s">
        <v>3103</v>
      </c>
      <c r="D24" s="269" t="s">
        <v>2828</v>
      </c>
      <c r="E24" s="269" t="s">
        <v>3104</v>
      </c>
      <c r="F24" s="269" t="s">
        <v>3105</v>
      </c>
      <c r="G24" s="270">
        <v>390000</v>
      </c>
      <c r="H24" s="270">
        <v>39000</v>
      </c>
    </row>
    <row r="25" spans="1:8" ht="17.25" customHeight="1" x14ac:dyDescent="0.25">
      <c r="A25" s="257">
        <v>42677</v>
      </c>
      <c r="B25" s="258" t="s">
        <v>3106</v>
      </c>
      <c r="C25" s="258" t="s">
        <v>3107</v>
      </c>
      <c r="D25" s="258" t="s">
        <v>2828</v>
      </c>
      <c r="E25" s="258" t="s">
        <v>3108</v>
      </c>
      <c r="F25" s="258" t="s">
        <v>3105</v>
      </c>
      <c r="G25" s="259">
        <v>409500</v>
      </c>
      <c r="H25" s="259">
        <v>40950</v>
      </c>
    </row>
    <row r="26" spans="1:8" ht="17.25" customHeight="1" x14ac:dyDescent="0.25">
      <c r="A26" s="257">
        <v>42677</v>
      </c>
      <c r="B26" s="258" t="s">
        <v>3109</v>
      </c>
      <c r="C26" s="258" t="s">
        <v>3110</v>
      </c>
      <c r="D26" s="258" t="s">
        <v>2828</v>
      </c>
      <c r="E26" s="258" t="s">
        <v>3111</v>
      </c>
      <c r="F26" s="258" t="s">
        <v>3105</v>
      </c>
      <c r="G26" s="259">
        <v>7222530</v>
      </c>
      <c r="H26" s="259">
        <v>722253</v>
      </c>
    </row>
    <row r="27" spans="1:8" ht="17.25" customHeight="1" x14ac:dyDescent="0.25">
      <c r="A27" s="242">
        <v>42690</v>
      </c>
      <c r="B27" s="269" t="s">
        <v>3112</v>
      </c>
      <c r="C27" s="269" t="s">
        <v>3113</v>
      </c>
      <c r="D27" s="269" t="s">
        <v>2828</v>
      </c>
      <c r="E27" s="269" t="s">
        <v>3114</v>
      </c>
      <c r="F27" s="269" t="s">
        <v>1875</v>
      </c>
      <c r="G27" s="270">
        <v>118464500</v>
      </c>
      <c r="H27" s="270">
        <v>11846450</v>
      </c>
    </row>
    <row r="28" spans="1:8" ht="17.25" customHeight="1" x14ac:dyDescent="0.25">
      <c r="A28" s="257"/>
      <c r="B28" s="258"/>
      <c r="C28" s="258"/>
      <c r="D28" s="258"/>
      <c r="E28" s="258"/>
      <c r="F28" s="258"/>
      <c r="G28" s="259"/>
      <c r="H28" s="259"/>
    </row>
    <row r="29" spans="1:8" ht="17.25" customHeight="1" x14ac:dyDescent="0.25">
      <c r="A29" s="253"/>
      <c r="B29" s="269"/>
      <c r="C29" s="269"/>
      <c r="D29" s="269"/>
      <c r="E29" s="269"/>
      <c r="F29" s="269"/>
      <c r="G29" s="270"/>
      <c r="H29" s="270"/>
    </row>
    <row r="30" spans="1:8" ht="17.25" customHeight="1" x14ac:dyDescent="0.25">
      <c r="A30" s="266"/>
      <c r="B30" s="258"/>
      <c r="C30" s="258"/>
      <c r="D30" s="258"/>
      <c r="E30" s="258"/>
      <c r="F30" s="258"/>
      <c r="G30" s="259"/>
      <c r="H30" s="259"/>
    </row>
    <row r="31" spans="1:8" ht="17.25" customHeight="1" x14ac:dyDescent="0.25">
      <c r="A31" s="271"/>
      <c r="B31" s="235"/>
      <c r="C31" s="235"/>
      <c r="D31" s="235"/>
      <c r="E31" s="235"/>
      <c r="F31" s="235"/>
      <c r="G31" s="268"/>
      <c r="H31" s="2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50"/>
  <sheetViews>
    <sheetView workbookViewId="0"/>
  </sheetViews>
  <sheetFormatPr baseColWidth="10" defaultColWidth="8.83203125" defaultRowHeight="15" x14ac:dyDescent="0.2"/>
  <cols>
    <col min="1" max="1" width="12.5" style="147" bestFit="1" customWidth="1"/>
    <col min="2" max="3" width="12.5" bestFit="1" customWidth="1"/>
    <col min="4" max="4" width="13.33203125" bestFit="1" customWidth="1"/>
    <col min="5" max="5" width="12.5" bestFit="1" customWidth="1"/>
    <col min="6" max="6" width="29" bestFit="1" customWidth="1"/>
    <col min="7" max="7" width="17.1640625" style="128" bestFit="1" customWidth="1"/>
    <col min="8" max="8" width="12.5" style="128" bestFit="1" customWidth="1"/>
    <col min="9" max="9" width="12.5" bestFit="1" customWidth="1"/>
    <col min="10" max="10" width="11.5" bestFit="1" customWidth="1"/>
    <col min="11" max="11" width="12.83203125" bestFit="1" customWidth="1"/>
    <col min="12" max="12" width="12.5" style="80" bestFit="1" customWidth="1"/>
    <col min="13" max="13" width="17" style="80" bestFit="1" customWidth="1"/>
  </cols>
  <sheetData>
    <row r="1" spans="1:13" ht="17.25" customHeight="1" x14ac:dyDescent="0.2">
      <c r="A1" s="83">
        <v>2017</v>
      </c>
      <c r="G1" s="3"/>
      <c r="H1" s="3"/>
      <c r="L1" s="3"/>
      <c r="M1" s="3"/>
    </row>
    <row r="2" spans="1:13" ht="17.25" customHeight="1" x14ac:dyDescent="0.2">
      <c r="A2" s="1"/>
      <c r="G2" s="3"/>
      <c r="H2" s="3"/>
      <c r="L2" s="3"/>
      <c r="M2" s="3"/>
    </row>
    <row r="3" spans="1:13" ht="17.25" customHeight="1" x14ac:dyDescent="0.25">
      <c r="A3" s="229" t="s">
        <v>0</v>
      </c>
      <c r="B3" s="230" t="s">
        <v>1</v>
      </c>
      <c r="C3" s="230" t="s">
        <v>2</v>
      </c>
      <c r="D3" s="230" t="s">
        <v>3</v>
      </c>
      <c r="E3" s="230" t="s">
        <v>4</v>
      </c>
      <c r="F3" s="230" t="s">
        <v>5</v>
      </c>
      <c r="G3" s="231" t="s">
        <v>6</v>
      </c>
      <c r="H3" s="231" t="s">
        <v>7</v>
      </c>
      <c r="I3" s="232" t="s">
        <v>8</v>
      </c>
      <c r="J3" s="232" t="s">
        <v>9</v>
      </c>
      <c r="K3" s="232" t="s">
        <v>10</v>
      </c>
      <c r="L3" s="233" t="s">
        <v>11</v>
      </c>
      <c r="M3" s="233" t="s">
        <v>12</v>
      </c>
    </row>
    <row r="4" spans="1:13" ht="17.25" customHeight="1" x14ac:dyDescent="0.25">
      <c r="A4" s="234"/>
      <c r="B4" s="235"/>
      <c r="C4" s="235"/>
      <c r="D4" s="235"/>
      <c r="E4" s="235"/>
      <c r="F4" s="235"/>
      <c r="G4" s="236"/>
      <c r="H4" s="236"/>
      <c r="I4" s="237"/>
      <c r="J4" s="237"/>
      <c r="K4" s="237"/>
      <c r="L4" s="238"/>
      <c r="M4" s="238"/>
    </row>
    <row r="5" spans="1:13" ht="17.25" customHeight="1" x14ac:dyDescent="0.25">
      <c r="A5" s="239"/>
      <c r="B5" s="240"/>
      <c r="C5" s="240"/>
      <c r="D5" s="240"/>
      <c r="E5" s="240"/>
      <c r="F5" s="240"/>
      <c r="G5" s="241"/>
      <c r="H5" s="241"/>
      <c r="L5" s="3"/>
      <c r="M5" s="3"/>
    </row>
    <row r="6" spans="1:13" ht="17.25" customHeight="1" x14ac:dyDescent="0.25">
      <c r="A6" s="242">
        <v>42902</v>
      </c>
      <c r="B6" s="243" t="s">
        <v>2985</v>
      </c>
      <c r="C6" s="243" t="s">
        <v>2986</v>
      </c>
      <c r="D6" s="243" t="s">
        <v>2828</v>
      </c>
      <c r="E6" s="243" t="s">
        <v>2987</v>
      </c>
      <c r="F6" s="243" t="s">
        <v>2866</v>
      </c>
      <c r="G6" s="244">
        <v>1000000</v>
      </c>
      <c r="H6" s="244">
        <v>100000</v>
      </c>
      <c r="L6" s="3"/>
      <c r="M6" s="3"/>
    </row>
    <row r="7" spans="1:13" ht="17.25" customHeight="1" x14ac:dyDescent="0.25">
      <c r="A7" s="239"/>
      <c r="B7" s="240"/>
      <c r="C7" s="240"/>
      <c r="D7" s="240"/>
      <c r="E7" s="240"/>
      <c r="F7" s="240"/>
      <c r="G7" s="241"/>
      <c r="H7" s="241"/>
      <c r="L7" s="3"/>
      <c r="M7" s="3"/>
    </row>
    <row r="8" spans="1:13" ht="17.25" customHeight="1" x14ac:dyDescent="0.25">
      <c r="A8" s="242"/>
      <c r="B8" s="243"/>
      <c r="C8" s="243"/>
      <c r="D8" s="243"/>
      <c r="E8" s="243"/>
      <c r="F8" s="243"/>
      <c r="G8" s="244"/>
      <c r="H8" s="244"/>
      <c r="L8" s="3"/>
      <c r="M8" s="3"/>
    </row>
    <row r="9" spans="1:13" ht="17.25" customHeight="1" x14ac:dyDescent="0.25">
      <c r="A9" s="242">
        <v>42919</v>
      </c>
      <c r="B9" s="243" t="s">
        <v>2988</v>
      </c>
      <c r="C9" s="243" t="s">
        <v>2989</v>
      </c>
      <c r="D9" s="243" t="s">
        <v>2542</v>
      </c>
      <c r="E9" s="243" t="s">
        <v>2990</v>
      </c>
      <c r="F9" s="243" t="s">
        <v>2991</v>
      </c>
      <c r="G9" s="244">
        <v>2817600</v>
      </c>
      <c r="H9" s="244">
        <v>281760</v>
      </c>
      <c r="L9" s="3"/>
      <c r="M9" s="3"/>
    </row>
    <row r="10" spans="1:13" ht="17.25" customHeight="1" x14ac:dyDescent="0.25">
      <c r="A10" s="239"/>
      <c r="B10" s="240"/>
      <c r="C10" s="240"/>
      <c r="D10" s="240"/>
      <c r="E10" s="240"/>
      <c r="F10" s="240"/>
      <c r="G10" s="241"/>
      <c r="H10" s="241"/>
      <c r="L10" s="3"/>
      <c r="M10" s="3"/>
    </row>
    <row r="11" spans="1:13" ht="17.25" customHeight="1" x14ac:dyDescent="0.25">
      <c r="A11" s="242"/>
      <c r="B11" s="243"/>
      <c r="C11" s="243"/>
      <c r="D11" s="243"/>
      <c r="E11" s="243"/>
      <c r="F11" s="243"/>
      <c r="G11" s="244"/>
      <c r="H11" s="244"/>
      <c r="L11" s="3"/>
      <c r="M11" s="3"/>
    </row>
    <row r="12" spans="1:13" ht="17.25" customHeight="1" x14ac:dyDescent="0.25">
      <c r="A12" s="242">
        <v>42934</v>
      </c>
      <c r="B12" s="243" t="s">
        <v>2992</v>
      </c>
      <c r="C12" s="243" t="s">
        <v>2993</v>
      </c>
      <c r="D12" s="243" t="s">
        <v>2828</v>
      </c>
      <c r="E12" s="243" t="s">
        <v>2994</v>
      </c>
      <c r="F12" s="243" t="s">
        <v>2995</v>
      </c>
      <c r="G12" s="244">
        <v>2574000</v>
      </c>
      <c r="H12" s="244">
        <v>257400</v>
      </c>
      <c r="L12" s="3"/>
      <c r="M12" s="3"/>
    </row>
    <row r="13" spans="1:13" ht="17.25" customHeight="1" x14ac:dyDescent="0.25">
      <c r="A13" s="239"/>
      <c r="B13" s="240"/>
      <c r="C13" s="240"/>
      <c r="D13" s="240"/>
      <c r="E13" s="240"/>
      <c r="F13" s="240"/>
      <c r="G13" s="241"/>
      <c r="H13" s="241"/>
      <c r="L13" s="3"/>
      <c r="M13" s="3"/>
    </row>
    <row r="14" spans="1:13" ht="17.25" customHeight="1" x14ac:dyDescent="0.25">
      <c r="A14" s="245" t="s">
        <v>2996</v>
      </c>
      <c r="B14" s="246" t="s">
        <v>2997</v>
      </c>
      <c r="C14" s="246" t="s">
        <v>2998</v>
      </c>
      <c r="D14" s="247" t="s">
        <v>2828</v>
      </c>
      <c r="E14" s="247" t="s">
        <v>2837</v>
      </c>
      <c r="F14" s="247" t="s">
        <v>2866</v>
      </c>
      <c r="G14" s="248">
        <v>2000000</v>
      </c>
      <c r="H14" s="248">
        <v>200000</v>
      </c>
      <c r="L14" s="3"/>
      <c r="M14" s="3"/>
    </row>
    <row r="15" spans="1:13" ht="17.25" customHeight="1" x14ac:dyDescent="0.25">
      <c r="A15" s="245" t="s">
        <v>2996</v>
      </c>
      <c r="B15" s="246" t="s">
        <v>2999</v>
      </c>
      <c r="C15" s="246" t="s">
        <v>3000</v>
      </c>
      <c r="D15" s="247" t="s">
        <v>2828</v>
      </c>
      <c r="E15" s="247" t="s">
        <v>2837</v>
      </c>
      <c r="F15" s="247" t="s">
        <v>3001</v>
      </c>
      <c r="G15" s="248">
        <v>13137600</v>
      </c>
      <c r="H15" s="248">
        <v>1313760</v>
      </c>
      <c r="L15" s="3"/>
      <c r="M15" s="3"/>
    </row>
    <row r="16" spans="1:13" ht="17.25" customHeight="1" x14ac:dyDescent="0.25">
      <c r="A16" s="249"/>
      <c r="B16" s="250"/>
      <c r="C16" s="250"/>
      <c r="D16" s="251"/>
      <c r="E16" s="251"/>
      <c r="F16" s="251"/>
      <c r="G16" s="252"/>
      <c r="H16" s="252"/>
      <c r="L16" s="3"/>
      <c r="M16" s="3"/>
    </row>
    <row r="17" spans="1:13" ht="17.25" customHeight="1" x14ac:dyDescent="0.25">
      <c r="A17" s="245" t="s">
        <v>2996</v>
      </c>
      <c r="B17" s="246" t="s">
        <v>3002</v>
      </c>
      <c r="C17" s="246" t="s">
        <v>3003</v>
      </c>
      <c r="D17" s="247" t="s">
        <v>2542</v>
      </c>
      <c r="E17" s="247" t="s">
        <v>2819</v>
      </c>
      <c r="F17" s="247" t="s">
        <v>3001</v>
      </c>
      <c r="G17" s="248">
        <v>5840850</v>
      </c>
      <c r="H17" s="248">
        <v>584085</v>
      </c>
      <c r="L17" s="3"/>
      <c r="M17" s="3"/>
    </row>
    <row r="18" spans="1:13" ht="17.25" customHeight="1" x14ac:dyDescent="0.25">
      <c r="A18" s="245" t="s">
        <v>2996</v>
      </c>
      <c r="B18" s="246" t="s">
        <v>3004</v>
      </c>
      <c r="C18" s="246" t="s">
        <v>3005</v>
      </c>
      <c r="D18" s="247" t="s">
        <v>2542</v>
      </c>
      <c r="E18" s="247" t="s">
        <v>2990</v>
      </c>
      <c r="F18" s="247" t="s">
        <v>3001</v>
      </c>
      <c r="G18" s="248">
        <v>2817600</v>
      </c>
      <c r="H18" s="248">
        <v>281760</v>
      </c>
      <c r="L18" s="3"/>
      <c r="M18" s="3"/>
    </row>
    <row r="19" spans="1:13" ht="17.25" customHeight="1" x14ac:dyDescent="0.25">
      <c r="A19" s="245" t="s">
        <v>2996</v>
      </c>
      <c r="B19" s="246" t="s">
        <v>3006</v>
      </c>
      <c r="C19" s="246" t="s">
        <v>3007</v>
      </c>
      <c r="D19" s="247" t="s">
        <v>2542</v>
      </c>
      <c r="E19" s="247" t="s">
        <v>2547</v>
      </c>
      <c r="F19" s="247" t="s">
        <v>3001</v>
      </c>
      <c r="G19" s="248">
        <v>1155150</v>
      </c>
      <c r="H19" s="248">
        <v>115515</v>
      </c>
      <c r="L19" s="3"/>
      <c r="M19" s="3"/>
    </row>
    <row r="20" spans="1:13" ht="17.25" customHeight="1" x14ac:dyDescent="0.25">
      <c r="A20" s="249"/>
      <c r="B20" s="250"/>
      <c r="C20" s="250"/>
      <c r="D20" s="251"/>
      <c r="E20" s="251"/>
      <c r="F20" s="251"/>
      <c r="G20" s="252"/>
      <c r="H20" s="252"/>
      <c r="L20" s="3"/>
      <c r="M20" s="3"/>
    </row>
    <row r="21" spans="1:13" ht="17.25" customHeight="1" x14ac:dyDescent="0.25">
      <c r="A21" s="242">
        <v>42984</v>
      </c>
      <c r="B21" s="243" t="s">
        <v>3008</v>
      </c>
      <c r="C21" s="243" t="s">
        <v>3009</v>
      </c>
      <c r="D21" s="243" t="s">
        <v>2828</v>
      </c>
      <c r="E21" s="243" t="s">
        <v>3010</v>
      </c>
      <c r="F21" s="243" t="s">
        <v>3011</v>
      </c>
      <c r="G21" s="244">
        <v>3000000</v>
      </c>
      <c r="H21" s="244">
        <v>300000</v>
      </c>
      <c r="L21" s="3"/>
      <c r="M21" s="3"/>
    </row>
    <row r="22" spans="1:13" ht="17.25" customHeight="1" x14ac:dyDescent="0.25">
      <c r="A22" s="242">
        <v>42984</v>
      </c>
      <c r="B22" s="243" t="s">
        <v>3012</v>
      </c>
      <c r="C22" s="243" t="s">
        <v>3013</v>
      </c>
      <c r="D22" s="243" t="s">
        <v>2828</v>
      </c>
      <c r="E22" s="243" t="s">
        <v>3010</v>
      </c>
      <c r="F22" s="243" t="s">
        <v>3014</v>
      </c>
      <c r="G22" s="244">
        <v>7600500</v>
      </c>
      <c r="H22" s="244">
        <v>760050</v>
      </c>
      <c r="L22" s="3"/>
      <c r="M22" s="3"/>
    </row>
    <row r="23" spans="1:13" ht="17.25" customHeight="1" x14ac:dyDescent="0.25">
      <c r="A23" s="239"/>
      <c r="B23" s="240"/>
      <c r="C23" s="240"/>
      <c r="D23" s="240"/>
      <c r="E23" s="240"/>
      <c r="F23" s="240"/>
      <c r="G23" s="241"/>
      <c r="H23" s="241"/>
      <c r="L23" s="3"/>
      <c r="M23" s="3"/>
    </row>
    <row r="24" spans="1:13" ht="17.25" customHeight="1" x14ac:dyDescent="0.25">
      <c r="A24" s="242">
        <v>42984</v>
      </c>
      <c r="B24" s="243" t="s">
        <v>3015</v>
      </c>
      <c r="C24" s="243" t="s">
        <v>3016</v>
      </c>
      <c r="D24" s="243" t="s">
        <v>2579</v>
      </c>
      <c r="E24" s="243" t="s">
        <v>2551</v>
      </c>
      <c r="F24" s="243" t="s">
        <v>3014</v>
      </c>
      <c r="G24" s="244">
        <v>5840850</v>
      </c>
      <c r="H24" s="244">
        <v>584085</v>
      </c>
      <c r="L24" s="3"/>
      <c r="M24" s="3"/>
    </row>
    <row r="25" spans="1:13" ht="17.25" customHeight="1" x14ac:dyDescent="0.25">
      <c r="A25" s="242">
        <v>42984</v>
      </c>
      <c r="B25" s="243" t="s">
        <v>3017</v>
      </c>
      <c r="C25" s="243" t="s">
        <v>3018</v>
      </c>
      <c r="D25" s="243" t="s">
        <v>2579</v>
      </c>
      <c r="E25" s="243" t="s">
        <v>2990</v>
      </c>
      <c r="F25" s="243" t="s">
        <v>3014</v>
      </c>
      <c r="G25" s="244">
        <v>2817600</v>
      </c>
      <c r="H25" s="244">
        <v>281760</v>
      </c>
      <c r="L25" s="3"/>
      <c r="M25" s="3"/>
    </row>
    <row r="26" spans="1:13" ht="17.25" customHeight="1" x14ac:dyDescent="0.25">
      <c r="A26" s="242">
        <v>42984</v>
      </c>
      <c r="B26" s="243" t="s">
        <v>3019</v>
      </c>
      <c r="C26" s="243" t="s">
        <v>3020</v>
      </c>
      <c r="D26" s="243" t="s">
        <v>2579</v>
      </c>
      <c r="E26" s="243" t="s">
        <v>2547</v>
      </c>
      <c r="F26" s="243" t="s">
        <v>3014</v>
      </c>
      <c r="G26" s="244">
        <v>1155150</v>
      </c>
      <c r="H26" s="244">
        <v>115515</v>
      </c>
      <c r="L26" s="3"/>
      <c r="M26" s="3"/>
    </row>
    <row r="27" spans="1:13" ht="17.25" customHeight="1" x14ac:dyDescent="0.25">
      <c r="A27" s="239"/>
      <c r="B27" s="240"/>
      <c r="C27" s="240"/>
      <c r="D27" s="240"/>
      <c r="E27" s="240"/>
      <c r="F27" s="240"/>
      <c r="G27" s="241"/>
      <c r="H27" s="241"/>
      <c r="L27" s="3"/>
      <c r="M27" s="3"/>
    </row>
    <row r="28" spans="1:13" ht="17.25" customHeight="1" x14ac:dyDescent="0.25">
      <c r="A28" s="253" t="s">
        <v>3021</v>
      </c>
      <c r="B28" s="254" t="s">
        <v>3022</v>
      </c>
      <c r="C28" s="254" t="s">
        <v>3023</v>
      </c>
      <c r="D28" s="243" t="s">
        <v>2828</v>
      </c>
      <c r="E28" s="243" t="s">
        <v>2837</v>
      </c>
      <c r="F28" s="243" t="s">
        <v>3024</v>
      </c>
      <c r="G28" s="244">
        <v>3186000</v>
      </c>
      <c r="H28" s="244">
        <v>318600</v>
      </c>
      <c r="L28" s="3"/>
      <c r="M28" s="3"/>
    </row>
    <row r="29" spans="1:13" ht="17.25" customHeight="1" x14ac:dyDescent="0.25">
      <c r="A29" s="253"/>
      <c r="B29" s="254"/>
      <c r="C29" s="254"/>
      <c r="D29" s="243"/>
      <c r="E29" s="243"/>
      <c r="F29" s="243"/>
      <c r="G29" s="244"/>
      <c r="H29" s="244"/>
      <c r="L29" s="3"/>
      <c r="M29" s="3"/>
    </row>
    <row r="30" spans="1:13" ht="17.25" customHeight="1" x14ac:dyDescent="0.25">
      <c r="A30" s="253" t="s">
        <v>3021</v>
      </c>
      <c r="B30" s="254" t="s">
        <v>3025</v>
      </c>
      <c r="C30" s="254" t="s">
        <v>3026</v>
      </c>
      <c r="D30" s="243" t="s">
        <v>2579</v>
      </c>
      <c r="E30" s="243" t="s">
        <v>2551</v>
      </c>
      <c r="F30" s="243" t="s">
        <v>3024</v>
      </c>
      <c r="G30" s="244">
        <v>5840850</v>
      </c>
      <c r="H30" s="244">
        <v>584085</v>
      </c>
      <c r="L30" s="3"/>
      <c r="M30" s="3"/>
    </row>
    <row r="31" spans="1:13" ht="17.25" customHeight="1" x14ac:dyDescent="0.25">
      <c r="A31" s="253" t="s">
        <v>3021</v>
      </c>
      <c r="B31" s="254" t="s">
        <v>3027</v>
      </c>
      <c r="C31" s="254" t="s">
        <v>3028</v>
      </c>
      <c r="D31" s="243" t="s">
        <v>2579</v>
      </c>
      <c r="E31" s="243" t="s">
        <v>2990</v>
      </c>
      <c r="F31" s="243" t="s">
        <v>3024</v>
      </c>
      <c r="G31" s="244">
        <v>2817600</v>
      </c>
      <c r="H31" s="244">
        <v>281760</v>
      </c>
      <c r="L31" s="3"/>
      <c r="M31" s="3"/>
    </row>
    <row r="32" spans="1:13" ht="17.25" customHeight="1" x14ac:dyDescent="0.25">
      <c r="A32" s="253" t="s">
        <v>3021</v>
      </c>
      <c r="B32" s="254" t="s">
        <v>3029</v>
      </c>
      <c r="C32" s="254" t="s">
        <v>3030</v>
      </c>
      <c r="D32" s="243" t="s">
        <v>2579</v>
      </c>
      <c r="E32" s="243" t="s">
        <v>2547</v>
      </c>
      <c r="F32" s="243" t="s">
        <v>3024</v>
      </c>
      <c r="G32" s="244">
        <v>1155150</v>
      </c>
      <c r="H32" s="244">
        <v>115515</v>
      </c>
      <c r="L32" s="3"/>
      <c r="M32" s="3"/>
    </row>
    <row r="33" spans="1:13" ht="17.25" customHeight="1" x14ac:dyDescent="0.25">
      <c r="A33" s="255"/>
      <c r="B33" s="256"/>
      <c r="C33" s="256"/>
      <c r="D33" s="240"/>
      <c r="E33" s="240"/>
      <c r="F33" s="240"/>
      <c r="G33" s="241"/>
      <c r="H33" s="241"/>
      <c r="L33" s="3"/>
      <c r="M33" s="3"/>
    </row>
    <row r="34" spans="1:13" ht="17.25" customHeight="1" x14ac:dyDescent="0.25">
      <c r="A34" s="84">
        <v>43041</v>
      </c>
      <c r="B34" s="42" t="s">
        <v>3031</v>
      </c>
      <c r="C34" s="42" t="s">
        <v>3032</v>
      </c>
      <c r="D34" s="42" t="s">
        <v>2828</v>
      </c>
      <c r="E34" s="42" t="s">
        <v>2837</v>
      </c>
      <c r="F34" s="42" t="s">
        <v>3011</v>
      </c>
      <c r="G34" s="43">
        <v>1000000</v>
      </c>
      <c r="H34" s="43">
        <v>100000</v>
      </c>
      <c r="L34" s="3"/>
      <c r="M34" s="3"/>
    </row>
    <row r="35" spans="1:13" ht="17.25" customHeight="1" x14ac:dyDescent="0.25">
      <c r="A35" s="84">
        <v>43041</v>
      </c>
      <c r="B35" s="42" t="s">
        <v>3033</v>
      </c>
      <c r="C35" s="42" t="s">
        <v>3034</v>
      </c>
      <c r="D35" s="42" t="s">
        <v>2828</v>
      </c>
      <c r="E35" s="42" t="s">
        <v>2837</v>
      </c>
      <c r="F35" s="42" t="s">
        <v>3035</v>
      </c>
      <c r="G35" s="43">
        <v>1873460</v>
      </c>
      <c r="H35" s="43">
        <v>187346</v>
      </c>
      <c r="L35" s="3"/>
      <c r="M35" s="3"/>
    </row>
    <row r="36" spans="1:13" ht="17.25" customHeight="1" x14ac:dyDescent="0.25">
      <c r="A36" s="84"/>
      <c r="B36" s="42"/>
      <c r="C36" s="42"/>
      <c r="D36" s="42"/>
      <c r="E36" s="42"/>
      <c r="F36" s="42"/>
      <c r="G36" s="43"/>
      <c r="H36" s="43"/>
      <c r="L36" s="3"/>
      <c r="M36" s="3"/>
    </row>
    <row r="37" spans="1:13" ht="17.25" customHeight="1" x14ac:dyDescent="0.25">
      <c r="A37" s="84">
        <v>43041</v>
      </c>
      <c r="B37" s="42" t="s">
        <v>3036</v>
      </c>
      <c r="C37" s="42" t="s">
        <v>3037</v>
      </c>
      <c r="D37" s="42" t="s">
        <v>2579</v>
      </c>
      <c r="E37" s="42" t="s">
        <v>2625</v>
      </c>
      <c r="F37" s="42" t="s">
        <v>3035</v>
      </c>
      <c r="G37" s="43">
        <v>5840850</v>
      </c>
      <c r="H37" s="43">
        <v>584085</v>
      </c>
      <c r="L37" s="3"/>
      <c r="M37" s="3"/>
    </row>
    <row r="38" spans="1:13" ht="17.25" customHeight="1" x14ac:dyDescent="0.25">
      <c r="A38" s="84">
        <v>43041</v>
      </c>
      <c r="B38" s="42" t="s">
        <v>3038</v>
      </c>
      <c r="C38" s="42" t="s">
        <v>3039</v>
      </c>
      <c r="D38" s="42" t="s">
        <v>2579</v>
      </c>
      <c r="E38" s="42" t="s">
        <v>2990</v>
      </c>
      <c r="F38" s="42" t="s">
        <v>3035</v>
      </c>
      <c r="G38" s="43">
        <v>2817600</v>
      </c>
      <c r="H38" s="43">
        <v>281760</v>
      </c>
      <c r="L38" s="3"/>
      <c r="M38" s="3"/>
    </row>
    <row r="39" spans="1:13" ht="17.25" customHeight="1" x14ac:dyDescent="0.25">
      <c r="A39" s="144"/>
      <c r="B39" s="56"/>
      <c r="C39" s="56"/>
      <c r="D39" s="56"/>
      <c r="E39" s="56"/>
      <c r="F39" s="56"/>
      <c r="G39" s="57"/>
      <c r="H39" s="57"/>
      <c r="L39" s="3"/>
      <c r="M39" s="3"/>
    </row>
    <row r="40" spans="1:13" ht="17.25" customHeight="1" x14ac:dyDescent="0.25">
      <c r="A40" s="84">
        <v>43042</v>
      </c>
      <c r="B40" s="42" t="s">
        <v>3040</v>
      </c>
      <c r="C40" s="42" t="s">
        <v>3041</v>
      </c>
      <c r="D40" s="42" t="s">
        <v>2579</v>
      </c>
      <c r="E40" s="42" t="s">
        <v>2547</v>
      </c>
      <c r="F40" s="42" t="s">
        <v>3035</v>
      </c>
      <c r="G40" s="43">
        <v>1155150</v>
      </c>
      <c r="H40" s="43">
        <v>115515</v>
      </c>
      <c r="L40" s="3"/>
      <c r="M40" s="3"/>
    </row>
    <row r="41" spans="1:13" ht="17.25" customHeight="1" x14ac:dyDescent="0.25">
      <c r="A41" s="144"/>
      <c r="B41" s="56"/>
      <c r="C41" s="56"/>
      <c r="D41" s="56"/>
      <c r="E41" s="56"/>
      <c r="F41" s="56"/>
      <c r="G41" s="57"/>
      <c r="H41" s="57"/>
      <c r="L41" s="3"/>
      <c r="M41" s="3"/>
    </row>
    <row r="42" spans="1:13" ht="17.25" customHeight="1" x14ac:dyDescent="0.25">
      <c r="A42" s="142" t="s">
        <v>3042</v>
      </c>
      <c r="B42" s="140" t="s">
        <v>3043</v>
      </c>
      <c r="C42" s="140" t="s">
        <v>3044</v>
      </c>
      <c r="D42" s="116" t="s">
        <v>2828</v>
      </c>
      <c r="E42" s="116" t="s">
        <v>2837</v>
      </c>
      <c r="F42" s="116" t="s">
        <v>3045</v>
      </c>
      <c r="G42" s="61">
        <v>508200</v>
      </c>
      <c r="H42" s="61">
        <v>50820</v>
      </c>
      <c r="L42" s="3"/>
      <c r="M42" s="3"/>
    </row>
    <row r="43" spans="1:13" ht="17.25" customHeight="1" x14ac:dyDescent="0.25">
      <c r="A43" s="168"/>
      <c r="B43" s="137"/>
      <c r="C43" s="137"/>
      <c r="D43" s="136"/>
      <c r="E43" s="136"/>
      <c r="F43" s="136"/>
      <c r="G43" s="138"/>
      <c r="H43" s="138"/>
      <c r="L43" s="3"/>
      <c r="M43" s="3"/>
    </row>
    <row r="44" spans="1:13" ht="17.25" customHeight="1" x14ac:dyDescent="0.25">
      <c r="A44" s="142" t="s">
        <v>3046</v>
      </c>
      <c r="B44" s="140" t="s">
        <v>3047</v>
      </c>
      <c r="C44" s="140" t="s">
        <v>3048</v>
      </c>
      <c r="D44" s="116" t="s">
        <v>2542</v>
      </c>
      <c r="E44" s="116" t="s">
        <v>2551</v>
      </c>
      <c r="F44" s="116" t="s">
        <v>3045</v>
      </c>
      <c r="G44" s="61">
        <v>5840850</v>
      </c>
      <c r="H44" s="61">
        <v>584085</v>
      </c>
      <c r="L44" s="3"/>
      <c r="M44" s="3"/>
    </row>
    <row r="45" spans="1:13" ht="17.25" customHeight="1" x14ac:dyDescent="0.25">
      <c r="A45" s="142" t="s">
        <v>3046</v>
      </c>
      <c r="B45" s="140" t="s">
        <v>3049</v>
      </c>
      <c r="C45" s="140" t="s">
        <v>3050</v>
      </c>
      <c r="D45" s="116" t="s">
        <v>2542</v>
      </c>
      <c r="E45" s="116" t="s">
        <v>2990</v>
      </c>
      <c r="F45" s="116" t="s">
        <v>3045</v>
      </c>
      <c r="G45" s="61">
        <v>2817600</v>
      </c>
      <c r="H45" s="61">
        <v>281760</v>
      </c>
      <c r="L45" s="3"/>
      <c r="M45" s="3"/>
    </row>
    <row r="46" spans="1:13" ht="17.25" customHeight="1" x14ac:dyDescent="0.25">
      <c r="A46" s="142" t="s">
        <v>3046</v>
      </c>
      <c r="B46" s="140" t="s">
        <v>3051</v>
      </c>
      <c r="C46" s="140" t="s">
        <v>3052</v>
      </c>
      <c r="D46" s="116" t="s">
        <v>2542</v>
      </c>
      <c r="E46" s="116" t="s">
        <v>2547</v>
      </c>
      <c r="F46" s="116" t="s">
        <v>3045</v>
      </c>
      <c r="G46" s="61">
        <v>1155150</v>
      </c>
      <c r="H46" s="61">
        <v>115515</v>
      </c>
      <c r="L46" s="3"/>
      <c r="M46" s="3"/>
    </row>
    <row r="47" spans="1:13" ht="17.25" customHeight="1" x14ac:dyDescent="0.25">
      <c r="A47" s="142"/>
      <c r="B47" s="140"/>
      <c r="C47" s="140"/>
      <c r="D47" s="116"/>
      <c r="E47" s="116"/>
      <c r="F47" s="116"/>
      <c r="G47" s="61"/>
      <c r="H47" s="61"/>
      <c r="L47" s="3"/>
      <c r="M47" s="3"/>
    </row>
    <row r="48" spans="1:13" ht="17.25" customHeight="1" x14ac:dyDescent="0.2">
      <c r="A48" s="1"/>
      <c r="G48" s="3"/>
      <c r="H48" s="3"/>
      <c r="L48" s="3"/>
      <c r="M48" s="3"/>
    </row>
    <row r="49" spans="1:13" ht="17.25" customHeight="1" x14ac:dyDescent="0.2">
      <c r="A49" s="1"/>
      <c r="G49" s="3"/>
      <c r="H49" s="3"/>
      <c r="L49" s="3"/>
      <c r="M49" s="3"/>
    </row>
    <row r="50" spans="1:13" ht="17.25" customHeight="1" x14ac:dyDescent="0.2">
      <c r="A50" s="1"/>
      <c r="G50" s="3"/>
      <c r="H50" s="3"/>
      <c r="L50" s="83">
        <v>2017</v>
      </c>
      <c r="M50" s="83">
        <f>SUM(M5:M49)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M8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7.33203125" style="147" bestFit="1" customWidth="1"/>
    <col min="2" max="3" width="12.5" bestFit="1" customWidth="1"/>
    <col min="4" max="4" width="19.5" bestFit="1" customWidth="1"/>
    <col min="5" max="5" width="18.1640625" bestFit="1" customWidth="1"/>
    <col min="6" max="6" width="36.33203125" bestFit="1" customWidth="1"/>
    <col min="7" max="7" width="15.33203125" style="128" bestFit="1" customWidth="1"/>
    <col min="8" max="8" width="20.1640625" style="128" bestFit="1" customWidth="1"/>
    <col min="9" max="9" width="12.5" bestFit="1" customWidth="1"/>
    <col min="10" max="10" width="15.5" bestFit="1" customWidth="1"/>
    <col min="11" max="11" width="12.1640625" bestFit="1" customWidth="1"/>
    <col min="12" max="12" width="12.5" style="80" bestFit="1" customWidth="1"/>
    <col min="13" max="13" width="15.33203125" style="224" bestFit="1" customWidth="1"/>
  </cols>
  <sheetData>
    <row r="1" spans="1:13" ht="17.25" customHeight="1" x14ac:dyDescent="0.2">
      <c r="A1" s="83">
        <v>2018</v>
      </c>
      <c r="G1" s="3"/>
      <c r="H1" s="3"/>
      <c r="L1" s="3"/>
      <c r="M1" s="5"/>
    </row>
    <row r="2" spans="1:13" ht="17.25" customHeight="1" x14ac:dyDescent="0.2">
      <c r="A2" s="1"/>
      <c r="G2" s="3"/>
      <c r="H2" s="3"/>
      <c r="L2" s="3"/>
      <c r="M2" s="5"/>
    </row>
    <row r="3" spans="1:13" ht="17.25" customHeight="1" x14ac:dyDescent="0.25">
      <c r="A3" s="199" t="s">
        <v>0</v>
      </c>
      <c r="B3" s="200" t="s">
        <v>1</v>
      </c>
      <c r="C3" s="200" t="s">
        <v>2</v>
      </c>
      <c r="D3" s="200" t="s">
        <v>3</v>
      </c>
      <c r="E3" s="200" t="s">
        <v>4</v>
      </c>
      <c r="F3" s="200" t="s">
        <v>5</v>
      </c>
      <c r="G3" s="201" t="s">
        <v>6</v>
      </c>
      <c r="H3" s="201" t="s">
        <v>7</v>
      </c>
      <c r="I3" s="132" t="s">
        <v>8</v>
      </c>
      <c r="J3" s="132" t="s">
        <v>9</v>
      </c>
      <c r="K3" s="132" t="s">
        <v>10</v>
      </c>
      <c r="L3" s="148" t="s">
        <v>11</v>
      </c>
      <c r="M3" s="203" t="s">
        <v>12</v>
      </c>
    </row>
    <row r="4" spans="1:13" ht="17.25" customHeight="1" x14ac:dyDescent="0.25">
      <c r="A4" s="139">
        <v>43115</v>
      </c>
      <c r="B4" s="115" t="s">
        <v>2826</v>
      </c>
      <c r="C4" s="140" t="s">
        <v>2827</v>
      </c>
      <c r="D4" s="116" t="s">
        <v>2828</v>
      </c>
      <c r="E4" s="116" t="s">
        <v>2829</v>
      </c>
      <c r="F4" s="116" t="s">
        <v>2830</v>
      </c>
      <c r="G4" s="61">
        <v>508200</v>
      </c>
      <c r="H4" s="61">
        <v>50820</v>
      </c>
      <c r="L4" s="3"/>
      <c r="M4" s="5"/>
    </row>
    <row r="5" spans="1:13" ht="17.25" customHeight="1" x14ac:dyDescent="0.25">
      <c r="A5" s="139">
        <v>43124</v>
      </c>
      <c r="B5" s="115" t="s">
        <v>2831</v>
      </c>
      <c r="C5" s="140" t="s">
        <v>2832</v>
      </c>
      <c r="D5" s="116" t="s">
        <v>2542</v>
      </c>
      <c r="E5" s="116" t="s">
        <v>2551</v>
      </c>
      <c r="F5" s="116" t="s">
        <v>2830</v>
      </c>
      <c r="G5" s="61">
        <v>1875450</v>
      </c>
      <c r="H5" s="61">
        <v>187545</v>
      </c>
      <c r="L5" s="3"/>
      <c r="M5" s="5"/>
    </row>
    <row r="6" spans="1:13" ht="17.25" customHeight="1" x14ac:dyDescent="0.25">
      <c r="A6" s="139">
        <v>43124</v>
      </c>
      <c r="B6" s="115" t="s">
        <v>2833</v>
      </c>
      <c r="C6" s="140" t="s">
        <v>2834</v>
      </c>
      <c r="D6" s="116" t="s">
        <v>2542</v>
      </c>
      <c r="E6" s="116" t="s">
        <v>2547</v>
      </c>
      <c r="F6" s="116" t="s">
        <v>2830</v>
      </c>
      <c r="G6" s="61">
        <v>1155150</v>
      </c>
      <c r="H6" s="61">
        <v>115515</v>
      </c>
      <c r="L6" s="3"/>
      <c r="M6" s="5"/>
    </row>
    <row r="7" spans="1:13" ht="17.25" customHeight="1" x14ac:dyDescent="0.2">
      <c r="A7" s="1"/>
      <c r="G7" s="3"/>
      <c r="H7" s="3"/>
      <c r="L7" s="3"/>
      <c r="M7" s="5"/>
    </row>
    <row r="8" spans="1:13" ht="17.25" customHeight="1" x14ac:dyDescent="0.25">
      <c r="A8" s="139">
        <v>43138</v>
      </c>
      <c r="B8" s="115" t="s">
        <v>2835</v>
      </c>
      <c r="C8" s="140" t="s">
        <v>2836</v>
      </c>
      <c r="D8" s="116" t="s">
        <v>2828</v>
      </c>
      <c r="E8" s="116" t="s">
        <v>2837</v>
      </c>
      <c r="F8" s="116" t="s">
        <v>2838</v>
      </c>
      <c r="G8" s="61">
        <v>508200</v>
      </c>
      <c r="H8" s="61">
        <v>50820</v>
      </c>
      <c r="L8" s="3"/>
      <c r="M8" s="5"/>
    </row>
    <row r="9" spans="1:13" ht="17.25" customHeight="1" x14ac:dyDescent="0.25">
      <c r="A9" s="139"/>
      <c r="B9" s="115"/>
      <c r="C9" s="140"/>
      <c r="D9" s="116"/>
      <c r="E9" s="116"/>
      <c r="F9" s="116"/>
      <c r="G9" s="61"/>
      <c r="H9" s="61"/>
      <c r="L9" s="3"/>
      <c r="M9" s="5"/>
    </row>
    <row r="10" spans="1:13" ht="17.25" customHeight="1" x14ac:dyDescent="0.25">
      <c r="A10" s="139">
        <v>43151</v>
      </c>
      <c r="B10" s="115" t="s">
        <v>2839</v>
      </c>
      <c r="C10" s="140" t="s">
        <v>2840</v>
      </c>
      <c r="D10" s="116" t="s">
        <v>2630</v>
      </c>
      <c r="E10" s="116" t="s">
        <v>2551</v>
      </c>
      <c r="F10" s="116" t="s">
        <v>2838</v>
      </c>
      <c r="G10" s="138">
        <v>1875450</v>
      </c>
      <c r="H10" s="138">
        <v>187545</v>
      </c>
      <c r="L10" s="3"/>
      <c r="M10" s="5"/>
    </row>
    <row r="11" spans="1:13" ht="17.25" customHeight="1" x14ac:dyDescent="0.25">
      <c r="A11" s="139">
        <v>43151</v>
      </c>
      <c r="B11" s="115" t="s">
        <v>2841</v>
      </c>
      <c r="C11" s="140" t="s">
        <v>2842</v>
      </c>
      <c r="D11" s="136" t="s">
        <v>2630</v>
      </c>
      <c r="E11" s="136" t="s">
        <v>2547</v>
      </c>
      <c r="F11" s="116" t="s">
        <v>2838</v>
      </c>
      <c r="G11" s="138">
        <v>1155150</v>
      </c>
      <c r="H11" s="138">
        <v>115515</v>
      </c>
      <c r="L11" s="3"/>
      <c r="M11" s="5"/>
    </row>
    <row r="12" spans="1:13" ht="17.25" customHeight="1" x14ac:dyDescent="0.2">
      <c r="A12" s="1"/>
      <c r="G12" s="3"/>
      <c r="H12" s="3"/>
      <c r="L12" s="3"/>
      <c r="M12" s="5"/>
    </row>
    <row r="13" spans="1:13" ht="17.25" customHeight="1" x14ac:dyDescent="0.25">
      <c r="A13" s="139">
        <v>43160</v>
      </c>
      <c r="B13" s="115" t="s">
        <v>2843</v>
      </c>
      <c r="C13" s="140" t="s">
        <v>2844</v>
      </c>
      <c r="D13" s="116" t="s">
        <v>2828</v>
      </c>
      <c r="E13" s="116" t="s">
        <v>2837</v>
      </c>
      <c r="F13" s="116" t="s">
        <v>2845</v>
      </c>
      <c r="G13" s="61">
        <v>508200</v>
      </c>
      <c r="H13" s="61">
        <v>50820</v>
      </c>
      <c r="L13" s="3"/>
      <c r="M13" s="5"/>
    </row>
    <row r="14" spans="1:13" ht="17.25" customHeight="1" x14ac:dyDescent="0.25">
      <c r="A14" s="139"/>
      <c r="B14" s="115"/>
      <c r="C14" s="140"/>
      <c r="D14" s="116"/>
      <c r="E14" s="116"/>
      <c r="F14" s="116"/>
      <c r="G14" s="61"/>
      <c r="H14" s="61"/>
      <c r="L14" s="3"/>
      <c r="M14" s="5"/>
    </row>
    <row r="15" spans="1:13" ht="17.25" customHeight="1" x14ac:dyDescent="0.25">
      <c r="A15" s="139">
        <v>43160</v>
      </c>
      <c r="B15" s="115" t="s">
        <v>2846</v>
      </c>
      <c r="C15" s="140" t="s">
        <v>2847</v>
      </c>
      <c r="D15" s="116" t="s">
        <v>2848</v>
      </c>
      <c r="E15" s="116" t="s">
        <v>2849</v>
      </c>
      <c r="F15" s="116" t="s">
        <v>2845</v>
      </c>
      <c r="G15" s="61">
        <v>4086868</v>
      </c>
      <c r="H15" s="61"/>
      <c r="L15" s="3"/>
      <c r="M15" s="5"/>
    </row>
    <row r="16" spans="1:13" ht="17.25" customHeight="1" x14ac:dyDescent="0.25">
      <c r="A16" s="139">
        <v>43160</v>
      </c>
      <c r="B16" s="115" t="s">
        <v>2850</v>
      </c>
      <c r="C16" s="140" t="s">
        <v>2851</v>
      </c>
      <c r="D16" s="116" t="s">
        <v>2848</v>
      </c>
      <c r="E16" s="116" t="s">
        <v>2852</v>
      </c>
      <c r="F16" s="116" t="s">
        <v>2845</v>
      </c>
      <c r="G16" s="61">
        <v>4424764</v>
      </c>
      <c r="H16" s="61"/>
      <c r="L16" s="3"/>
      <c r="M16" s="5"/>
    </row>
    <row r="17" spans="1:13" ht="17.25" customHeight="1" x14ac:dyDescent="0.2">
      <c r="A17" s="1"/>
      <c r="G17" s="3"/>
      <c r="H17" s="3"/>
      <c r="L17" s="3"/>
      <c r="M17" s="5"/>
    </row>
    <row r="18" spans="1:13" ht="17.25" customHeight="1" x14ac:dyDescent="0.25">
      <c r="A18" s="139">
        <v>43162</v>
      </c>
      <c r="B18" s="115" t="s">
        <v>2853</v>
      </c>
      <c r="C18" s="140" t="s">
        <v>2854</v>
      </c>
      <c r="D18" s="116" t="s">
        <v>2855</v>
      </c>
      <c r="E18" s="116" t="s">
        <v>2551</v>
      </c>
      <c r="F18" s="116" t="s">
        <v>2845</v>
      </c>
      <c r="G18" s="61">
        <v>1875450</v>
      </c>
      <c r="H18" s="61">
        <v>187545</v>
      </c>
      <c r="L18" s="3"/>
      <c r="M18" s="5"/>
    </row>
    <row r="19" spans="1:13" ht="17.25" customHeight="1" x14ac:dyDescent="0.25">
      <c r="A19" s="139">
        <v>43162</v>
      </c>
      <c r="B19" s="115" t="s">
        <v>2856</v>
      </c>
      <c r="C19" s="140" t="s">
        <v>2857</v>
      </c>
      <c r="D19" s="116" t="s">
        <v>2855</v>
      </c>
      <c r="E19" s="116" t="s">
        <v>2547</v>
      </c>
      <c r="F19" s="116" t="s">
        <v>2845</v>
      </c>
      <c r="G19" s="61">
        <v>1155150</v>
      </c>
      <c r="H19" s="61">
        <v>115515</v>
      </c>
      <c r="L19" s="3"/>
      <c r="M19" s="5"/>
    </row>
    <row r="20" spans="1:13" ht="17.25" customHeight="1" x14ac:dyDescent="0.2">
      <c r="A20" s="1"/>
      <c r="G20" s="3"/>
      <c r="H20" s="3"/>
      <c r="L20" s="3"/>
      <c r="M20" s="5"/>
    </row>
    <row r="21" spans="1:13" ht="17.25" customHeight="1" x14ac:dyDescent="0.25">
      <c r="A21" s="139">
        <v>43192</v>
      </c>
      <c r="B21" s="115" t="s">
        <v>2858</v>
      </c>
      <c r="C21" s="116" t="s">
        <v>2859</v>
      </c>
      <c r="D21" s="116" t="s">
        <v>2579</v>
      </c>
      <c r="E21" s="116" t="s">
        <v>2551</v>
      </c>
      <c r="F21" s="116" t="s">
        <v>2860</v>
      </c>
      <c r="G21" s="61">
        <v>1875450</v>
      </c>
      <c r="H21" s="61">
        <v>187545</v>
      </c>
      <c r="L21" s="3"/>
      <c r="M21" s="5"/>
    </row>
    <row r="22" spans="1:13" ht="17.25" customHeight="1" x14ac:dyDescent="0.25">
      <c r="A22" s="139">
        <v>43192</v>
      </c>
      <c r="B22" s="115" t="s">
        <v>2861</v>
      </c>
      <c r="C22" s="116" t="s">
        <v>2862</v>
      </c>
      <c r="D22" s="116" t="s">
        <v>2579</v>
      </c>
      <c r="E22" s="116" t="s">
        <v>2547</v>
      </c>
      <c r="F22" s="116" t="s">
        <v>2860</v>
      </c>
      <c r="G22" s="61">
        <v>1155150</v>
      </c>
      <c r="H22" s="61">
        <v>115515</v>
      </c>
      <c r="L22" s="3"/>
      <c r="M22" s="5"/>
    </row>
    <row r="23" spans="1:13" ht="17.25" customHeight="1" x14ac:dyDescent="0.25">
      <c r="A23" s="139">
        <v>43192</v>
      </c>
      <c r="B23" s="156" t="s">
        <v>2863</v>
      </c>
      <c r="C23" s="116" t="s">
        <v>2864</v>
      </c>
      <c r="D23" s="116" t="s">
        <v>2828</v>
      </c>
      <c r="E23" s="116" t="s">
        <v>2865</v>
      </c>
      <c r="F23" s="116" t="s">
        <v>2866</v>
      </c>
      <c r="G23" s="61">
        <v>500000</v>
      </c>
      <c r="H23" s="61">
        <v>50000</v>
      </c>
      <c r="L23" s="3"/>
      <c r="M23" s="5"/>
    </row>
    <row r="24" spans="1:13" ht="17.25" customHeight="1" x14ac:dyDescent="0.25">
      <c r="A24" s="139">
        <v>43206</v>
      </c>
      <c r="B24" s="115" t="s">
        <v>2867</v>
      </c>
      <c r="C24" s="116" t="s">
        <v>2868</v>
      </c>
      <c r="D24" s="116" t="s">
        <v>2828</v>
      </c>
      <c r="E24" s="116" t="s">
        <v>2869</v>
      </c>
      <c r="F24" s="116" t="s">
        <v>2866</v>
      </c>
      <c r="G24" s="61">
        <v>500000</v>
      </c>
      <c r="H24" s="61">
        <v>50000</v>
      </c>
      <c r="L24" s="3"/>
      <c r="M24" s="5"/>
    </row>
    <row r="25" spans="1:13" ht="17.25" customHeight="1" x14ac:dyDescent="0.25">
      <c r="A25" s="139">
        <v>43206</v>
      </c>
      <c r="B25" s="115" t="s">
        <v>2870</v>
      </c>
      <c r="C25" s="116" t="s">
        <v>2871</v>
      </c>
      <c r="D25" s="116" t="s">
        <v>2828</v>
      </c>
      <c r="E25" s="116" t="s">
        <v>2869</v>
      </c>
      <c r="F25" s="116" t="s">
        <v>2872</v>
      </c>
      <c r="G25" s="61">
        <v>3600000</v>
      </c>
      <c r="H25" s="61">
        <v>360000</v>
      </c>
      <c r="L25" s="3"/>
      <c r="M25" s="5"/>
    </row>
    <row r="26" spans="1:13" ht="17.25" customHeight="1" x14ac:dyDescent="0.25">
      <c r="A26" s="139">
        <v>43206</v>
      </c>
      <c r="B26" s="115" t="s">
        <v>2873</v>
      </c>
      <c r="C26" s="116" t="s">
        <v>2874</v>
      </c>
      <c r="D26" s="116" t="s">
        <v>2828</v>
      </c>
      <c r="E26" s="116" t="s">
        <v>2837</v>
      </c>
      <c r="F26" s="116" t="s">
        <v>2860</v>
      </c>
      <c r="G26" s="61">
        <v>508200</v>
      </c>
      <c r="H26" s="61">
        <v>50820</v>
      </c>
      <c r="L26" s="3"/>
      <c r="M26" s="5"/>
    </row>
    <row r="27" spans="1:13" ht="17.25" customHeight="1" x14ac:dyDescent="0.2">
      <c r="A27" s="1"/>
      <c r="G27" s="3"/>
      <c r="H27" s="3"/>
      <c r="L27" s="3"/>
      <c r="M27" s="5"/>
    </row>
    <row r="28" spans="1:13" ht="17.25" customHeight="1" x14ac:dyDescent="0.25">
      <c r="A28" s="142" t="s">
        <v>2875</v>
      </c>
      <c r="B28" s="116" t="s">
        <v>2876</v>
      </c>
      <c r="C28" s="116" t="s">
        <v>2877</v>
      </c>
      <c r="D28" s="116" t="s">
        <v>2828</v>
      </c>
      <c r="E28" s="116" t="s">
        <v>2837</v>
      </c>
      <c r="F28" s="116" t="s">
        <v>2878</v>
      </c>
      <c r="G28" s="61">
        <v>508200</v>
      </c>
      <c r="H28" s="61">
        <v>50820</v>
      </c>
      <c r="L28" s="3"/>
      <c r="M28" s="5"/>
    </row>
    <row r="29" spans="1:13" ht="17.25" customHeight="1" x14ac:dyDescent="0.25">
      <c r="A29" s="142" t="s">
        <v>2875</v>
      </c>
      <c r="B29" s="116" t="s">
        <v>2879</v>
      </c>
      <c r="C29" s="116" t="s">
        <v>2880</v>
      </c>
      <c r="D29" s="116" t="s">
        <v>2828</v>
      </c>
      <c r="E29" s="116" t="s">
        <v>2869</v>
      </c>
      <c r="F29" s="116" t="s">
        <v>2878</v>
      </c>
      <c r="G29" s="61">
        <v>3600000</v>
      </c>
      <c r="H29" s="61">
        <v>360000</v>
      </c>
      <c r="L29" s="3"/>
      <c r="M29" s="5"/>
    </row>
    <row r="30" spans="1:13" ht="17.25" customHeight="1" x14ac:dyDescent="0.25">
      <c r="A30" s="142"/>
      <c r="B30" s="116"/>
      <c r="C30" s="116"/>
      <c r="D30" s="116"/>
      <c r="E30" s="116"/>
      <c r="F30" s="116"/>
      <c r="G30" s="61"/>
      <c r="H30" s="61"/>
      <c r="L30" s="3"/>
      <c r="M30" s="5"/>
    </row>
    <row r="31" spans="1:13" ht="17.25" customHeight="1" x14ac:dyDescent="0.25">
      <c r="A31" s="142" t="s">
        <v>2875</v>
      </c>
      <c r="B31" s="116" t="s">
        <v>2881</v>
      </c>
      <c r="C31" s="116" t="s">
        <v>2882</v>
      </c>
      <c r="D31" s="116" t="s">
        <v>2579</v>
      </c>
      <c r="E31" s="116" t="s">
        <v>2551</v>
      </c>
      <c r="F31" s="116" t="s">
        <v>2878</v>
      </c>
      <c r="G31" s="61">
        <v>1875450</v>
      </c>
      <c r="H31" s="61">
        <v>187545</v>
      </c>
      <c r="L31" s="3"/>
      <c r="M31" s="5"/>
    </row>
    <row r="32" spans="1:13" ht="17.25" customHeight="1" x14ac:dyDescent="0.25">
      <c r="A32" s="142" t="s">
        <v>2875</v>
      </c>
      <c r="B32" s="116" t="s">
        <v>2883</v>
      </c>
      <c r="C32" s="116" t="s">
        <v>2884</v>
      </c>
      <c r="D32" s="116" t="s">
        <v>2579</v>
      </c>
      <c r="E32" s="116" t="s">
        <v>2547</v>
      </c>
      <c r="F32" s="116" t="s">
        <v>2878</v>
      </c>
      <c r="G32" s="61">
        <v>1155150</v>
      </c>
      <c r="H32" s="61">
        <v>115515</v>
      </c>
      <c r="L32" s="3"/>
      <c r="M32" s="5"/>
    </row>
    <row r="33" spans="1:13" ht="17.25" customHeight="1" x14ac:dyDescent="0.25">
      <c r="A33" s="168"/>
      <c r="B33" s="136"/>
      <c r="C33" s="136"/>
      <c r="D33" s="136"/>
      <c r="E33" s="136"/>
      <c r="F33" s="136"/>
      <c r="G33" s="138"/>
      <c r="H33" s="138"/>
      <c r="L33" s="3"/>
      <c r="M33" s="5"/>
    </row>
    <row r="34" spans="1:13" ht="17.25" customHeight="1" x14ac:dyDescent="0.25">
      <c r="A34" s="142" t="s">
        <v>2885</v>
      </c>
      <c r="B34" s="140" t="s">
        <v>2886</v>
      </c>
      <c r="C34" s="116" t="s">
        <v>2887</v>
      </c>
      <c r="D34" s="116" t="s">
        <v>2828</v>
      </c>
      <c r="E34" s="116" t="s">
        <v>2888</v>
      </c>
      <c r="F34" s="116" t="s">
        <v>2889</v>
      </c>
      <c r="G34" s="61">
        <v>1837440</v>
      </c>
      <c r="H34" s="61">
        <v>183744</v>
      </c>
      <c r="L34" s="3"/>
      <c r="M34" s="5"/>
    </row>
    <row r="35" spans="1:13" ht="17.25" customHeight="1" x14ac:dyDescent="0.25">
      <c r="A35" s="168"/>
      <c r="B35" s="137"/>
      <c r="C35" s="136"/>
      <c r="D35" s="136"/>
      <c r="E35" s="136"/>
      <c r="F35" s="136"/>
      <c r="G35" s="138"/>
      <c r="H35" s="138"/>
      <c r="L35" s="3"/>
      <c r="M35" s="5"/>
    </row>
    <row r="36" spans="1:13" ht="17.25" customHeight="1" x14ac:dyDescent="0.25">
      <c r="A36" s="139">
        <v>43256</v>
      </c>
      <c r="B36" s="225" t="s">
        <v>2890</v>
      </c>
      <c r="C36" s="226" t="s">
        <v>2891</v>
      </c>
      <c r="D36" s="226" t="s">
        <v>2828</v>
      </c>
      <c r="E36" s="226" t="s">
        <v>2837</v>
      </c>
      <c r="F36" s="226" t="s">
        <v>2892</v>
      </c>
      <c r="G36" s="227">
        <v>508200</v>
      </c>
      <c r="H36" s="227">
        <v>50820</v>
      </c>
      <c r="L36" s="3"/>
      <c r="M36" s="5"/>
    </row>
    <row r="37" spans="1:13" ht="17.25" customHeight="1" x14ac:dyDescent="0.25">
      <c r="A37" s="164">
        <v>43256</v>
      </c>
      <c r="B37" s="165" t="s">
        <v>2893</v>
      </c>
      <c r="C37" s="166" t="s">
        <v>2894</v>
      </c>
      <c r="D37" s="166" t="s">
        <v>2828</v>
      </c>
      <c r="E37" s="166" t="s">
        <v>2869</v>
      </c>
      <c r="F37" s="166" t="s">
        <v>2892</v>
      </c>
      <c r="G37" s="167">
        <v>3600000</v>
      </c>
      <c r="H37" s="167">
        <v>360000</v>
      </c>
      <c r="L37" s="3"/>
      <c r="M37" s="5"/>
    </row>
    <row r="38" spans="1:13" ht="17.25" customHeight="1" x14ac:dyDescent="0.25">
      <c r="A38" s="164">
        <v>43256</v>
      </c>
      <c r="B38" s="165" t="s">
        <v>2895</v>
      </c>
      <c r="C38" s="166" t="s">
        <v>2896</v>
      </c>
      <c r="D38" s="166" t="s">
        <v>2828</v>
      </c>
      <c r="E38" s="166" t="s">
        <v>2865</v>
      </c>
      <c r="F38" s="166" t="s">
        <v>2892</v>
      </c>
      <c r="G38" s="167">
        <v>1900800</v>
      </c>
      <c r="H38" s="167">
        <v>190080</v>
      </c>
      <c r="L38" s="3"/>
      <c r="M38" s="5"/>
    </row>
    <row r="39" spans="1:13" ht="17.25" customHeight="1" x14ac:dyDescent="0.2">
      <c r="A39" s="1"/>
      <c r="G39" s="3"/>
      <c r="H39" s="3"/>
      <c r="L39" s="3"/>
      <c r="M39" s="5"/>
    </row>
    <row r="40" spans="1:13" ht="17.25" customHeight="1" x14ac:dyDescent="0.25">
      <c r="A40" s="139">
        <v>43272</v>
      </c>
      <c r="B40" s="140" t="s">
        <v>2897</v>
      </c>
      <c r="C40" s="116" t="s">
        <v>2898</v>
      </c>
      <c r="D40" s="116" t="s">
        <v>2899</v>
      </c>
      <c r="E40" s="116" t="s">
        <v>2900</v>
      </c>
      <c r="F40" s="116" t="s">
        <v>2892</v>
      </c>
      <c r="G40" s="61">
        <v>315500</v>
      </c>
      <c r="H40" s="61">
        <v>31550</v>
      </c>
      <c r="L40" s="3"/>
      <c r="M40" s="5"/>
    </row>
    <row r="41" spans="1:13" ht="17.25" customHeight="1" x14ac:dyDescent="0.25">
      <c r="A41" s="139"/>
      <c r="B41" s="140"/>
      <c r="C41" s="116"/>
      <c r="D41" s="116"/>
      <c r="E41" s="116"/>
      <c r="F41" s="116"/>
      <c r="G41" s="61"/>
      <c r="H41" s="61"/>
      <c r="L41" s="3"/>
      <c r="M41" s="5"/>
    </row>
    <row r="42" spans="1:13" ht="17.25" customHeight="1" x14ac:dyDescent="0.25">
      <c r="A42" s="139">
        <v>43272</v>
      </c>
      <c r="B42" s="140" t="s">
        <v>2901</v>
      </c>
      <c r="C42" s="116" t="s">
        <v>2902</v>
      </c>
      <c r="D42" s="116" t="s">
        <v>2630</v>
      </c>
      <c r="E42" s="116" t="s">
        <v>2551</v>
      </c>
      <c r="F42" s="116" t="s">
        <v>2892</v>
      </c>
      <c r="G42" s="61">
        <v>1875450</v>
      </c>
      <c r="H42" s="61">
        <v>187545</v>
      </c>
      <c r="L42" s="3"/>
      <c r="M42" s="5"/>
    </row>
    <row r="43" spans="1:13" ht="17.25" customHeight="1" x14ac:dyDescent="0.25">
      <c r="A43" s="139">
        <v>43272</v>
      </c>
      <c r="B43" s="140" t="s">
        <v>2903</v>
      </c>
      <c r="C43" s="116" t="s">
        <v>2904</v>
      </c>
      <c r="D43" s="116" t="s">
        <v>2630</v>
      </c>
      <c r="E43" s="116" t="s">
        <v>2547</v>
      </c>
      <c r="F43" s="116" t="s">
        <v>2892</v>
      </c>
      <c r="G43" s="61">
        <v>1155150</v>
      </c>
      <c r="H43" s="61">
        <v>115515</v>
      </c>
      <c r="L43" s="3"/>
      <c r="M43" s="5"/>
    </row>
    <row r="44" spans="1:13" ht="17.25" customHeight="1" x14ac:dyDescent="0.25">
      <c r="A44" s="139"/>
      <c r="B44" s="140"/>
      <c r="C44" s="116"/>
      <c r="D44" s="116"/>
      <c r="E44" s="116"/>
      <c r="F44" s="116"/>
      <c r="G44" s="61"/>
      <c r="H44" s="61"/>
      <c r="L44" s="3"/>
      <c r="M44" s="5"/>
    </row>
    <row r="45" spans="1:13" ht="17.25" customHeight="1" x14ac:dyDescent="0.25">
      <c r="A45" s="139">
        <v>43287</v>
      </c>
      <c r="B45" s="140" t="s">
        <v>2905</v>
      </c>
      <c r="C45" s="116" t="s">
        <v>2906</v>
      </c>
      <c r="D45" s="116" t="s">
        <v>2828</v>
      </c>
      <c r="E45" s="116" t="s">
        <v>2837</v>
      </c>
      <c r="F45" s="116" t="s">
        <v>2907</v>
      </c>
      <c r="G45" s="61">
        <v>508200</v>
      </c>
      <c r="H45" s="61">
        <v>50820</v>
      </c>
      <c r="L45" s="3"/>
      <c r="M45" s="5"/>
    </row>
    <row r="46" spans="1:13" ht="17.25" customHeight="1" x14ac:dyDescent="0.25">
      <c r="A46" s="139">
        <v>43287</v>
      </c>
      <c r="B46" s="140" t="s">
        <v>2908</v>
      </c>
      <c r="C46" s="116" t="s">
        <v>2909</v>
      </c>
      <c r="D46" s="116" t="s">
        <v>2828</v>
      </c>
      <c r="E46" s="116" t="s">
        <v>2869</v>
      </c>
      <c r="F46" s="116" t="s">
        <v>2910</v>
      </c>
      <c r="G46" s="61">
        <v>500000</v>
      </c>
      <c r="H46" s="61">
        <v>50000</v>
      </c>
      <c r="L46" s="3"/>
      <c r="M46" s="5"/>
    </row>
    <row r="47" spans="1:13" ht="17.25" customHeight="1" x14ac:dyDescent="0.25">
      <c r="A47" s="139">
        <v>43287</v>
      </c>
      <c r="B47" s="140" t="s">
        <v>2911</v>
      </c>
      <c r="C47" s="116" t="s">
        <v>2912</v>
      </c>
      <c r="D47" s="116" t="s">
        <v>2828</v>
      </c>
      <c r="E47" s="116" t="s">
        <v>2869</v>
      </c>
      <c r="F47" s="116" t="s">
        <v>2907</v>
      </c>
      <c r="G47" s="61">
        <v>3044000</v>
      </c>
      <c r="H47" s="61">
        <v>304400</v>
      </c>
      <c r="L47" s="3"/>
      <c r="M47" s="5"/>
    </row>
    <row r="48" spans="1:13" ht="17.25" customHeight="1" x14ac:dyDescent="0.25">
      <c r="A48" s="139">
        <v>43287</v>
      </c>
      <c r="B48" s="140" t="s">
        <v>2913</v>
      </c>
      <c r="C48" s="116" t="s">
        <v>2914</v>
      </c>
      <c r="D48" s="116" t="s">
        <v>2828</v>
      </c>
      <c r="E48" s="116" t="s">
        <v>2865</v>
      </c>
      <c r="F48" s="116" t="s">
        <v>2907</v>
      </c>
      <c r="G48" s="61">
        <v>1900800</v>
      </c>
      <c r="H48" s="61">
        <v>190080</v>
      </c>
      <c r="L48" s="3"/>
      <c r="M48" s="5"/>
    </row>
    <row r="49" spans="1:13" ht="17.25" customHeight="1" x14ac:dyDescent="0.2">
      <c r="A49" s="1"/>
      <c r="G49" s="3"/>
      <c r="H49" s="3"/>
      <c r="L49" s="3"/>
      <c r="M49" s="5"/>
    </row>
    <row r="50" spans="1:13" ht="17.25" customHeight="1" x14ac:dyDescent="0.25">
      <c r="A50" s="139">
        <v>43290</v>
      </c>
      <c r="B50" s="140" t="s">
        <v>2915</v>
      </c>
      <c r="C50" s="116" t="s">
        <v>2916</v>
      </c>
      <c r="D50" s="116" t="s">
        <v>1998</v>
      </c>
      <c r="E50" s="116" t="s">
        <v>2917</v>
      </c>
      <c r="F50" s="116" t="s">
        <v>2860</v>
      </c>
      <c r="G50" s="61">
        <v>444600</v>
      </c>
      <c r="H50" s="61">
        <v>44460</v>
      </c>
      <c r="L50" s="3"/>
      <c r="M50" s="5"/>
    </row>
    <row r="51" spans="1:13" ht="17.25" customHeight="1" x14ac:dyDescent="0.25">
      <c r="A51" s="141"/>
      <c r="B51" s="137"/>
      <c r="C51" s="136"/>
      <c r="D51" s="136"/>
      <c r="E51" s="136"/>
      <c r="F51" s="136"/>
      <c r="G51" s="138"/>
      <c r="H51" s="138"/>
      <c r="L51" s="3"/>
      <c r="M51" s="5"/>
    </row>
    <row r="52" spans="1:13" ht="17.25" customHeight="1" x14ac:dyDescent="0.25">
      <c r="A52" s="139">
        <v>43292</v>
      </c>
      <c r="B52" s="140" t="s">
        <v>2918</v>
      </c>
      <c r="C52" s="116" t="s">
        <v>2919</v>
      </c>
      <c r="D52" s="116" t="s">
        <v>2630</v>
      </c>
      <c r="E52" s="116" t="s">
        <v>2551</v>
      </c>
      <c r="F52" s="116" t="s">
        <v>2907</v>
      </c>
      <c r="G52" s="61">
        <v>1875450</v>
      </c>
      <c r="H52" s="61">
        <v>187545</v>
      </c>
      <c r="L52" s="3"/>
      <c r="M52" s="5"/>
    </row>
    <row r="53" spans="1:13" ht="17.25" customHeight="1" x14ac:dyDescent="0.25">
      <c r="A53" s="139">
        <v>43292</v>
      </c>
      <c r="B53" s="140" t="s">
        <v>2920</v>
      </c>
      <c r="C53" s="116" t="s">
        <v>2921</v>
      </c>
      <c r="D53" s="116" t="s">
        <v>2630</v>
      </c>
      <c r="E53" s="116" t="s">
        <v>2547</v>
      </c>
      <c r="F53" s="116" t="s">
        <v>2907</v>
      </c>
      <c r="G53" s="61">
        <v>1155150</v>
      </c>
      <c r="H53" s="61">
        <v>115515</v>
      </c>
      <c r="L53" s="3"/>
      <c r="M53" s="5"/>
    </row>
    <row r="54" spans="1:13" ht="17.25" customHeight="1" x14ac:dyDescent="0.2">
      <c r="A54" s="1"/>
      <c r="G54" s="3"/>
      <c r="H54" s="3"/>
      <c r="L54" s="3"/>
      <c r="M54" s="5"/>
    </row>
    <row r="55" spans="1:13" ht="17.25" customHeight="1" x14ac:dyDescent="0.25">
      <c r="A55" s="228" t="s">
        <v>2922</v>
      </c>
      <c r="B55" s="116" t="s">
        <v>2923</v>
      </c>
      <c r="C55" s="116" t="s">
        <v>2924</v>
      </c>
      <c r="D55" s="116" t="s">
        <v>2630</v>
      </c>
      <c r="E55" s="116" t="s">
        <v>2554</v>
      </c>
      <c r="F55" s="116" t="s">
        <v>2925</v>
      </c>
      <c r="G55" s="61">
        <v>12389275</v>
      </c>
      <c r="H55" s="61">
        <v>1238927</v>
      </c>
      <c r="L55" s="3"/>
      <c r="M55" s="5"/>
    </row>
    <row r="56" spans="1:13" ht="17.25" customHeight="1" x14ac:dyDescent="0.2">
      <c r="A56" s="1"/>
      <c r="G56" s="3"/>
      <c r="H56" s="3"/>
      <c r="L56" s="3"/>
      <c r="M56" s="5"/>
    </row>
    <row r="57" spans="1:13" ht="17.25" customHeight="1" x14ac:dyDescent="0.25">
      <c r="A57" s="142" t="s">
        <v>2926</v>
      </c>
      <c r="B57" s="116" t="s">
        <v>2927</v>
      </c>
      <c r="C57" s="116" t="s">
        <v>2928</v>
      </c>
      <c r="D57" s="116" t="s">
        <v>2828</v>
      </c>
      <c r="E57" s="116" t="s">
        <v>2837</v>
      </c>
      <c r="F57" s="116" t="s">
        <v>2929</v>
      </c>
      <c r="G57" s="61">
        <v>508200</v>
      </c>
      <c r="H57" s="61">
        <v>50820</v>
      </c>
      <c r="L57" s="3"/>
      <c r="M57" s="5"/>
    </row>
    <row r="58" spans="1:13" ht="17.25" customHeight="1" x14ac:dyDescent="0.25">
      <c r="A58" s="142" t="s">
        <v>2926</v>
      </c>
      <c r="B58" s="116" t="s">
        <v>2930</v>
      </c>
      <c r="C58" s="116" t="s">
        <v>2931</v>
      </c>
      <c r="D58" s="116" t="s">
        <v>2828</v>
      </c>
      <c r="E58" s="116" t="s">
        <v>2869</v>
      </c>
      <c r="F58" s="116" t="s">
        <v>2929</v>
      </c>
      <c r="G58" s="61">
        <v>264000</v>
      </c>
      <c r="H58" s="61">
        <v>26400</v>
      </c>
      <c r="L58" s="3"/>
      <c r="M58" s="5"/>
    </row>
    <row r="59" spans="1:13" ht="17.25" customHeight="1" x14ac:dyDescent="0.25">
      <c r="A59" s="142" t="s">
        <v>2926</v>
      </c>
      <c r="B59" s="116" t="s">
        <v>2932</v>
      </c>
      <c r="C59" s="116" t="s">
        <v>2933</v>
      </c>
      <c r="D59" s="116" t="s">
        <v>2828</v>
      </c>
      <c r="E59" s="116" t="s">
        <v>2865</v>
      </c>
      <c r="F59" s="116" t="s">
        <v>2929</v>
      </c>
      <c r="G59" s="61">
        <v>1900800</v>
      </c>
      <c r="H59" s="61">
        <v>190080</v>
      </c>
      <c r="L59" s="3"/>
      <c r="M59" s="5"/>
    </row>
    <row r="60" spans="1:13" ht="17.25" customHeight="1" x14ac:dyDescent="0.2">
      <c r="A60" s="1"/>
      <c r="G60" s="3"/>
      <c r="H60" s="3"/>
      <c r="L60" s="3"/>
      <c r="M60" s="5"/>
    </row>
    <row r="61" spans="1:13" ht="17.25" customHeight="1" x14ac:dyDescent="0.25">
      <c r="A61" s="142" t="s">
        <v>2934</v>
      </c>
      <c r="B61" s="116" t="s">
        <v>2935</v>
      </c>
      <c r="C61" s="116" t="s">
        <v>2936</v>
      </c>
      <c r="D61" s="116" t="s">
        <v>2630</v>
      </c>
      <c r="E61" s="116" t="s">
        <v>2551</v>
      </c>
      <c r="F61" s="116" t="s">
        <v>2929</v>
      </c>
      <c r="G61" s="61">
        <v>1875450</v>
      </c>
      <c r="H61" s="61">
        <v>187545</v>
      </c>
      <c r="L61" s="3"/>
      <c r="M61" s="5"/>
    </row>
    <row r="62" spans="1:13" ht="17.25" customHeight="1" x14ac:dyDescent="0.25">
      <c r="A62" s="142" t="s">
        <v>2934</v>
      </c>
      <c r="B62" s="116" t="s">
        <v>2937</v>
      </c>
      <c r="C62" s="116" t="s">
        <v>2938</v>
      </c>
      <c r="D62" s="116" t="s">
        <v>2630</v>
      </c>
      <c r="E62" s="116" t="s">
        <v>2547</v>
      </c>
      <c r="F62" s="116" t="s">
        <v>2929</v>
      </c>
      <c r="G62" s="61">
        <v>1155150</v>
      </c>
      <c r="H62" s="61">
        <v>115515</v>
      </c>
      <c r="L62" s="3"/>
      <c r="M62" s="5"/>
    </row>
    <row r="63" spans="1:13" ht="17.25" customHeight="1" x14ac:dyDescent="0.25">
      <c r="A63" s="168"/>
      <c r="B63" s="136"/>
      <c r="C63" s="136"/>
      <c r="D63" s="136"/>
      <c r="E63" s="136"/>
      <c r="F63" s="136"/>
      <c r="G63" s="138"/>
      <c r="H63" s="138"/>
      <c r="L63" s="3"/>
      <c r="M63" s="5"/>
    </row>
    <row r="64" spans="1:13" ht="17.25" customHeight="1" x14ac:dyDescent="0.25">
      <c r="A64" s="84">
        <v>43346</v>
      </c>
      <c r="B64" s="42" t="s">
        <v>2939</v>
      </c>
      <c r="C64" s="42" t="s">
        <v>2940</v>
      </c>
      <c r="D64" s="42" t="s">
        <v>2828</v>
      </c>
      <c r="E64" s="42" t="s">
        <v>2837</v>
      </c>
      <c r="F64" s="42" t="s">
        <v>2941</v>
      </c>
      <c r="G64" s="43">
        <v>508200</v>
      </c>
      <c r="H64" s="43">
        <v>50820</v>
      </c>
      <c r="L64" s="3"/>
      <c r="M64" s="5"/>
    </row>
    <row r="65" spans="1:13" ht="17.25" customHeight="1" x14ac:dyDescent="0.25">
      <c r="A65" s="84">
        <v>43346</v>
      </c>
      <c r="B65" s="42" t="s">
        <v>2942</v>
      </c>
      <c r="C65" s="42" t="s">
        <v>2943</v>
      </c>
      <c r="D65" s="42" t="s">
        <v>2828</v>
      </c>
      <c r="E65" s="42" t="s">
        <v>2869</v>
      </c>
      <c r="F65" s="42" t="s">
        <v>2941</v>
      </c>
      <c r="G65" s="43">
        <v>264000</v>
      </c>
      <c r="H65" s="43">
        <v>26400</v>
      </c>
      <c r="L65" s="3"/>
      <c r="M65" s="5"/>
    </row>
    <row r="66" spans="1:13" ht="17.25" customHeight="1" x14ac:dyDescent="0.25">
      <c r="A66" s="84">
        <v>43346</v>
      </c>
      <c r="B66" s="42" t="s">
        <v>2944</v>
      </c>
      <c r="C66" s="42" t="s">
        <v>2945</v>
      </c>
      <c r="D66" s="42" t="s">
        <v>2828</v>
      </c>
      <c r="E66" s="42" t="s">
        <v>2865</v>
      </c>
      <c r="F66" s="42" t="s">
        <v>2941</v>
      </c>
      <c r="G66" s="43">
        <v>1900800</v>
      </c>
      <c r="H66" s="43">
        <v>190080</v>
      </c>
      <c r="L66" s="3"/>
      <c r="M66" s="5"/>
    </row>
    <row r="67" spans="1:13" ht="17.25" customHeight="1" x14ac:dyDescent="0.2">
      <c r="A67" s="1"/>
      <c r="G67" s="3"/>
      <c r="H67" s="3"/>
      <c r="L67" s="3"/>
      <c r="M67" s="5"/>
    </row>
    <row r="68" spans="1:13" ht="17.25" customHeight="1" x14ac:dyDescent="0.25">
      <c r="A68" s="84">
        <v>43349</v>
      </c>
      <c r="B68" s="42" t="s">
        <v>2946</v>
      </c>
      <c r="C68" s="42" t="s">
        <v>2947</v>
      </c>
      <c r="D68" s="42" t="s">
        <v>2630</v>
      </c>
      <c r="E68" s="42" t="s">
        <v>2554</v>
      </c>
      <c r="F68" s="42" t="s">
        <v>2948</v>
      </c>
      <c r="G68" s="43">
        <v>21245000</v>
      </c>
      <c r="H68" s="43">
        <v>2124500</v>
      </c>
      <c r="L68" s="3"/>
      <c r="M68" s="5"/>
    </row>
    <row r="69" spans="1:13" ht="17.25" customHeight="1" x14ac:dyDescent="0.25">
      <c r="A69" s="144"/>
      <c r="B69" s="56"/>
      <c r="C69" s="56"/>
      <c r="D69" s="56"/>
      <c r="E69" s="56"/>
      <c r="F69" s="56"/>
      <c r="G69" s="57"/>
      <c r="H69" s="57"/>
      <c r="L69" s="3"/>
      <c r="M69" s="5"/>
    </row>
    <row r="70" spans="1:13" ht="17.25" customHeight="1" x14ac:dyDescent="0.25">
      <c r="A70" s="84">
        <v>43364</v>
      </c>
      <c r="B70" s="42" t="s">
        <v>2949</v>
      </c>
      <c r="C70" s="42" t="s">
        <v>2950</v>
      </c>
      <c r="D70" s="42" t="s">
        <v>1862</v>
      </c>
      <c r="E70" s="42" t="s">
        <v>2951</v>
      </c>
      <c r="F70" s="42" t="s">
        <v>2952</v>
      </c>
      <c r="G70" s="43">
        <v>5337233</v>
      </c>
      <c r="H70" s="43">
        <v>533723</v>
      </c>
      <c r="L70" s="3"/>
      <c r="M70" s="5"/>
    </row>
    <row r="71" spans="1:13" ht="17.25" customHeight="1" x14ac:dyDescent="0.25">
      <c r="A71" s="142" t="s">
        <v>2953</v>
      </c>
      <c r="B71" s="116" t="s">
        <v>2954</v>
      </c>
      <c r="C71" s="116" t="s">
        <v>2955</v>
      </c>
      <c r="D71" s="116" t="s">
        <v>2828</v>
      </c>
      <c r="E71" s="116" t="s">
        <v>2888</v>
      </c>
      <c r="F71" s="116" t="s">
        <v>1875</v>
      </c>
      <c r="G71" s="61">
        <v>492000</v>
      </c>
      <c r="H71" s="61">
        <v>49200</v>
      </c>
      <c r="L71" s="3"/>
      <c r="M71" s="5"/>
    </row>
    <row r="72" spans="1:13" ht="17.25" customHeight="1" x14ac:dyDescent="0.25">
      <c r="A72" s="142" t="s">
        <v>2956</v>
      </c>
      <c r="B72" s="116" t="s">
        <v>2957</v>
      </c>
      <c r="C72" s="116" t="s">
        <v>2958</v>
      </c>
      <c r="D72" s="116" t="s">
        <v>2828</v>
      </c>
      <c r="E72" s="116" t="s">
        <v>2837</v>
      </c>
      <c r="F72" s="116" t="s">
        <v>2959</v>
      </c>
      <c r="G72" s="61">
        <v>508200</v>
      </c>
      <c r="H72" s="61">
        <v>50820</v>
      </c>
      <c r="L72" s="3"/>
      <c r="M72" s="5"/>
    </row>
    <row r="73" spans="1:13" ht="17.25" customHeight="1" x14ac:dyDescent="0.25">
      <c r="A73" s="142" t="s">
        <v>2956</v>
      </c>
      <c r="B73" s="116" t="s">
        <v>2960</v>
      </c>
      <c r="C73" s="116" t="s">
        <v>2961</v>
      </c>
      <c r="D73" s="116" t="s">
        <v>2828</v>
      </c>
      <c r="E73" s="116" t="s">
        <v>2869</v>
      </c>
      <c r="F73" s="116" t="s">
        <v>2959</v>
      </c>
      <c r="G73" s="61">
        <v>264000</v>
      </c>
      <c r="H73" s="61">
        <v>26400</v>
      </c>
      <c r="L73" s="3"/>
      <c r="M73" s="5"/>
    </row>
    <row r="74" spans="1:13" ht="17.25" customHeight="1" x14ac:dyDescent="0.25">
      <c r="A74" s="142" t="s">
        <v>2956</v>
      </c>
      <c r="B74" s="116" t="s">
        <v>2962</v>
      </c>
      <c r="C74" s="116" t="s">
        <v>2963</v>
      </c>
      <c r="D74" s="116" t="s">
        <v>2828</v>
      </c>
      <c r="E74" s="116" t="s">
        <v>2888</v>
      </c>
      <c r="F74" s="116" t="s">
        <v>2959</v>
      </c>
      <c r="G74" s="61">
        <v>1900800</v>
      </c>
      <c r="H74" s="61">
        <v>190080</v>
      </c>
      <c r="L74" s="3"/>
      <c r="M74" s="5"/>
    </row>
    <row r="75" spans="1:13" ht="17.25" customHeight="1" x14ac:dyDescent="0.25">
      <c r="A75" s="142"/>
      <c r="B75" s="136"/>
      <c r="C75" s="136"/>
      <c r="D75" s="136"/>
      <c r="E75" s="136"/>
      <c r="F75" s="136"/>
      <c r="G75" s="138"/>
      <c r="H75" s="138"/>
      <c r="L75" s="3"/>
      <c r="M75" s="5"/>
    </row>
    <row r="76" spans="1:13" ht="17.25" customHeight="1" x14ac:dyDescent="0.25">
      <c r="A76" s="142" t="s">
        <v>2964</v>
      </c>
      <c r="B76" s="140" t="s">
        <v>2965</v>
      </c>
      <c r="C76" s="116" t="s">
        <v>2966</v>
      </c>
      <c r="D76" s="116" t="s">
        <v>2828</v>
      </c>
      <c r="E76" s="116" t="s">
        <v>2967</v>
      </c>
      <c r="F76" s="116" t="s">
        <v>1875</v>
      </c>
      <c r="G76" s="61">
        <v>3850000</v>
      </c>
      <c r="H76" s="61">
        <v>385000</v>
      </c>
      <c r="L76" s="3"/>
      <c r="M76" s="5"/>
    </row>
    <row r="77" spans="1:13" ht="17.25" customHeight="1" x14ac:dyDescent="0.25">
      <c r="A77" s="142" t="s">
        <v>2964</v>
      </c>
      <c r="B77" s="140" t="s">
        <v>2968</v>
      </c>
      <c r="C77" s="116" t="s">
        <v>2969</v>
      </c>
      <c r="D77" s="116" t="s">
        <v>2828</v>
      </c>
      <c r="E77" s="116" t="s">
        <v>2837</v>
      </c>
      <c r="F77" s="116" t="s">
        <v>1875</v>
      </c>
      <c r="G77" s="61">
        <v>3006000</v>
      </c>
      <c r="H77" s="61">
        <v>300600</v>
      </c>
      <c r="L77" s="3"/>
      <c r="M77" s="5"/>
    </row>
    <row r="78" spans="1:13" ht="17.25" customHeight="1" x14ac:dyDescent="0.2">
      <c r="A78" s="1"/>
      <c r="G78" s="3"/>
      <c r="H78" s="3"/>
      <c r="L78" s="3"/>
      <c r="M78" s="5"/>
    </row>
    <row r="79" spans="1:13" ht="17.25" customHeight="1" x14ac:dyDescent="0.25">
      <c r="A79" s="142" t="s">
        <v>2970</v>
      </c>
      <c r="B79" s="140" t="s">
        <v>2971</v>
      </c>
      <c r="C79" s="116" t="s">
        <v>2972</v>
      </c>
      <c r="D79" s="116" t="s">
        <v>2973</v>
      </c>
      <c r="E79" s="116" t="s">
        <v>2974</v>
      </c>
      <c r="F79" s="116" t="s">
        <v>1875</v>
      </c>
      <c r="G79" s="61"/>
      <c r="H79" s="61"/>
      <c r="I79" s="149" t="s">
        <v>2975</v>
      </c>
      <c r="L79" s="3"/>
      <c r="M79" s="5"/>
    </row>
    <row r="80" spans="1:13" ht="17.25" customHeight="1" x14ac:dyDescent="0.25">
      <c r="A80" s="168"/>
      <c r="B80" s="137"/>
      <c r="C80" s="136"/>
      <c r="D80" s="136"/>
      <c r="E80" s="136"/>
      <c r="F80" s="136"/>
      <c r="G80" s="138"/>
      <c r="H80" s="138"/>
      <c r="L80" s="3"/>
      <c r="M80" s="5"/>
    </row>
    <row r="81" spans="1:13" ht="17.25" customHeight="1" x14ac:dyDescent="0.25">
      <c r="A81" s="139">
        <v>43412</v>
      </c>
      <c r="B81" s="140" t="s">
        <v>2976</v>
      </c>
      <c r="C81" s="116" t="s">
        <v>2977</v>
      </c>
      <c r="D81" s="116" t="s">
        <v>2978</v>
      </c>
      <c r="E81" s="116" t="s">
        <v>2979</v>
      </c>
      <c r="F81" s="116" t="s">
        <v>2980</v>
      </c>
      <c r="G81" s="61">
        <v>174000</v>
      </c>
      <c r="H81" s="61">
        <v>17400</v>
      </c>
      <c r="K81" t="s">
        <v>2049</v>
      </c>
      <c r="L81" s="3"/>
      <c r="M81" s="5"/>
    </row>
    <row r="82" spans="1:13" ht="17.25" customHeight="1" x14ac:dyDescent="0.25">
      <c r="A82" s="142" t="s">
        <v>2970</v>
      </c>
      <c r="B82" s="116" t="s">
        <v>2981</v>
      </c>
      <c r="C82" s="116" t="s">
        <v>2982</v>
      </c>
      <c r="D82" s="116" t="s">
        <v>2983</v>
      </c>
      <c r="E82" s="116" t="s">
        <v>2979</v>
      </c>
      <c r="F82" s="116" t="s">
        <v>2984</v>
      </c>
      <c r="G82" s="61">
        <v>52200</v>
      </c>
      <c r="H82" s="61">
        <v>5220</v>
      </c>
      <c r="L82" s="3"/>
      <c r="M82" s="5"/>
    </row>
    <row r="83" spans="1:13" ht="17.25" customHeight="1" x14ac:dyDescent="0.25">
      <c r="A83" s="142"/>
      <c r="B83" s="136"/>
      <c r="C83" s="136"/>
      <c r="D83" s="136"/>
      <c r="E83" s="136"/>
      <c r="F83" s="136"/>
      <c r="G83" s="138"/>
      <c r="H83" s="138"/>
      <c r="L83" s="3"/>
      <c r="M83" s="5"/>
    </row>
    <row r="84" spans="1:13" ht="17.25" customHeight="1" x14ac:dyDescent="0.2">
      <c r="A84" s="1"/>
      <c r="G84" s="3"/>
      <c r="H84" s="3"/>
      <c r="L84" s="3"/>
      <c r="M84" s="5"/>
    </row>
    <row r="85" spans="1:13" ht="17.25" customHeight="1" x14ac:dyDescent="0.2">
      <c r="A85" s="1"/>
      <c r="G85" s="3"/>
      <c r="H85" s="3"/>
      <c r="L85" s="3"/>
      <c r="M85" s="5"/>
    </row>
    <row r="86" spans="1:13" ht="17.25" customHeight="1" x14ac:dyDescent="0.2">
      <c r="A86" s="1"/>
      <c r="G86" s="3"/>
      <c r="H86" s="3"/>
      <c r="L86" s="3"/>
      <c r="M86" s="5"/>
    </row>
    <row r="87" spans="1:13" ht="17.25" customHeight="1" x14ac:dyDescent="0.2">
      <c r="A87" s="1"/>
      <c r="G87" s="3"/>
      <c r="H87" s="3"/>
      <c r="L87" s="3"/>
      <c r="M87" s="5"/>
    </row>
    <row r="88" spans="1:13" ht="17.25" customHeight="1" x14ac:dyDescent="0.2">
      <c r="A88" s="1"/>
      <c r="G88" s="3"/>
      <c r="H88" s="3"/>
      <c r="L88" s="3"/>
      <c r="M88" s="5"/>
    </row>
    <row r="89" spans="1:13" ht="17.25" customHeight="1" x14ac:dyDescent="0.2">
      <c r="A89" s="1"/>
      <c r="G89" s="3"/>
      <c r="H89" s="3"/>
      <c r="L89" s="83">
        <v>2018</v>
      </c>
      <c r="M89" s="62">
        <f>SUM(M4:M88)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5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3.1640625" style="147" bestFit="1" customWidth="1"/>
    <col min="2" max="2" width="14.6640625" bestFit="1" customWidth="1"/>
    <col min="3" max="3" width="26.5" bestFit="1" customWidth="1"/>
    <col min="4" max="5" width="12.5" bestFit="1" customWidth="1"/>
    <col min="6" max="6" width="10.83203125" bestFit="1" customWidth="1"/>
    <col min="7" max="7" width="16.6640625" style="128" bestFit="1" customWidth="1"/>
    <col min="8" max="8" width="14" style="128" bestFit="1" customWidth="1"/>
    <col min="9" max="9" width="12.6640625" style="81" bestFit="1" customWidth="1"/>
    <col min="10" max="10" width="20.83203125" bestFit="1" customWidth="1"/>
    <col min="11" max="11" width="20.33203125" bestFit="1" customWidth="1"/>
    <col min="12" max="12" width="12" style="128" bestFit="1" customWidth="1"/>
    <col min="13" max="13" width="18.1640625" style="224" bestFit="1" customWidth="1"/>
  </cols>
  <sheetData>
    <row r="1" spans="1:13" ht="17.25" customHeight="1" x14ac:dyDescent="0.2">
      <c r="A1" s="83">
        <v>2019</v>
      </c>
      <c r="G1" s="3"/>
      <c r="H1" s="3"/>
      <c r="I1" s="4"/>
      <c r="L1" s="3"/>
      <c r="M1" s="5"/>
    </row>
    <row r="2" spans="1:13" ht="17.25" customHeight="1" x14ac:dyDescent="0.2">
      <c r="A2" s="1"/>
      <c r="G2" s="3"/>
      <c r="H2" s="3"/>
      <c r="I2" s="4"/>
      <c r="L2" s="3"/>
      <c r="M2" s="5"/>
    </row>
    <row r="3" spans="1:13" ht="17.25" customHeight="1" x14ac:dyDescent="0.25">
      <c r="A3" s="199" t="s">
        <v>0</v>
      </c>
      <c r="B3" s="200" t="s">
        <v>1</v>
      </c>
      <c r="C3" s="200" t="s">
        <v>2</v>
      </c>
      <c r="D3" s="200" t="s">
        <v>3</v>
      </c>
      <c r="E3" s="200" t="s">
        <v>4</v>
      </c>
      <c r="F3" s="200" t="s">
        <v>5</v>
      </c>
      <c r="G3" s="201" t="s">
        <v>6</v>
      </c>
      <c r="H3" s="201" t="s">
        <v>7</v>
      </c>
      <c r="I3" s="202" t="s">
        <v>8</v>
      </c>
      <c r="J3" s="132" t="s">
        <v>9</v>
      </c>
      <c r="K3" s="132" t="s">
        <v>10</v>
      </c>
      <c r="L3" s="148" t="s">
        <v>11</v>
      </c>
      <c r="M3" s="203" t="s">
        <v>12</v>
      </c>
    </row>
    <row r="4" spans="1:13" ht="17.25" customHeight="1" x14ac:dyDescent="0.25">
      <c r="A4" s="17"/>
      <c r="B4" s="54"/>
      <c r="C4" s="54"/>
      <c r="D4" s="54"/>
      <c r="E4" s="54"/>
      <c r="F4" s="54"/>
      <c r="G4" s="204"/>
      <c r="H4" s="204"/>
      <c r="I4" s="205"/>
      <c r="J4" s="175"/>
      <c r="K4" s="175"/>
      <c r="L4" s="206"/>
      <c r="M4" s="207"/>
    </row>
    <row r="5" spans="1:13" ht="17.25" customHeight="1" x14ac:dyDescent="0.25">
      <c r="A5" s="21">
        <v>43507</v>
      </c>
      <c r="B5" s="22" t="s">
        <v>2743</v>
      </c>
      <c r="C5" s="22" t="s">
        <v>2744</v>
      </c>
      <c r="D5" s="22" t="s">
        <v>1862</v>
      </c>
      <c r="E5" s="22" t="s">
        <v>2745</v>
      </c>
      <c r="F5" s="22" t="s">
        <v>2746</v>
      </c>
      <c r="G5" s="24">
        <v>44267684</v>
      </c>
      <c r="H5" s="24">
        <v>4426768</v>
      </c>
      <c r="I5" s="208">
        <v>45033</v>
      </c>
      <c r="J5" s="209"/>
      <c r="K5" s="209"/>
      <c r="L5" s="210"/>
      <c r="M5" s="211"/>
    </row>
    <row r="6" spans="1:13" ht="17.25" customHeight="1" x14ac:dyDescent="0.25">
      <c r="A6" s="17"/>
      <c r="B6" s="54"/>
      <c r="C6" s="54"/>
      <c r="D6" s="54"/>
      <c r="E6" s="54"/>
      <c r="F6" s="54"/>
      <c r="G6" s="204"/>
      <c r="H6" s="204"/>
      <c r="I6" s="205"/>
      <c r="J6" s="175"/>
      <c r="K6" s="175"/>
      <c r="L6" s="206"/>
      <c r="M6" s="207"/>
    </row>
    <row r="7" spans="1:13" ht="17.25" customHeight="1" x14ac:dyDescent="0.25">
      <c r="A7" s="84">
        <v>43525</v>
      </c>
      <c r="B7" s="40" t="s">
        <v>2747</v>
      </c>
      <c r="C7" s="40" t="s">
        <v>2748</v>
      </c>
      <c r="D7" s="42" t="s">
        <v>2749</v>
      </c>
      <c r="E7" s="42" t="s">
        <v>2750</v>
      </c>
      <c r="F7" s="42" t="s">
        <v>2751</v>
      </c>
      <c r="G7" s="43">
        <v>33833210</v>
      </c>
      <c r="H7" s="43">
        <v>3383321</v>
      </c>
      <c r="I7" s="205"/>
      <c r="J7" s="175"/>
      <c r="K7" s="175"/>
      <c r="L7" s="206"/>
      <c r="M7" s="207"/>
    </row>
    <row r="8" spans="1:13" ht="17.25" customHeight="1" x14ac:dyDescent="0.25">
      <c r="A8" s="84">
        <v>43525</v>
      </c>
      <c r="B8" s="40" t="s">
        <v>2752</v>
      </c>
      <c r="C8" s="40" t="s">
        <v>2753</v>
      </c>
      <c r="D8" s="42" t="s">
        <v>2749</v>
      </c>
      <c r="E8" s="42" t="s">
        <v>2754</v>
      </c>
      <c r="F8" s="42" t="s">
        <v>2751</v>
      </c>
      <c r="G8" s="43">
        <v>28514955</v>
      </c>
      <c r="H8" s="43">
        <v>2851495</v>
      </c>
      <c r="I8" s="205"/>
      <c r="J8" s="175"/>
      <c r="K8" s="175"/>
      <c r="L8" s="206"/>
      <c r="M8" s="207"/>
    </row>
    <row r="9" spans="1:13" ht="17.25" customHeight="1" x14ac:dyDescent="0.25">
      <c r="A9" s="84"/>
      <c r="B9" s="40"/>
      <c r="C9" s="40"/>
      <c r="D9" s="42"/>
      <c r="E9" s="42"/>
      <c r="F9" s="42"/>
      <c r="G9" s="43"/>
      <c r="H9" s="43"/>
      <c r="I9" s="205"/>
      <c r="J9" s="175"/>
      <c r="K9" s="175"/>
      <c r="L9" s="206"/>
      <c r="M9" s="207"/>
    </row>
    <row r="10" spans="1:13" ht="17.25" customHeight="1" x14ac:dyDescent="0.25">
      <c r="A10" s="84">
        <v>43570</v>
      </c>
      <c r="B10" s="40" t="s">
        <v>2755</v>
      </c>
      <c r="C10" s="42" t="s">
        <v>2756</v>
      </c>
      <c r="D10" s="42" t="s">
        <v>2757</v>
      </c>
      <c r="E10" s="42" t="s">
        <v>2643</v>
      </c>
      <c r="F10" s="42" t="s">
        <v>2758</v>
      </c>
      <c r="G10" s="43">
        <v>61381200</v>
      </c>
      <c r="H10" s="43">
        <v>6138120</v>
      </c>
      <c r="I10" s="205"/>
      <c r="J10" s="175"/>
      <c r="K10" s="175"/>
      <c r="L10" s="206"/>
      <c r="M10" s="207"/>
    </row>
    <row r="11" spans="1:13" ht="17.25" customHeight="1" x14ac:dyDescent="0.25">
      <c r="A11" s="144"/>
      <c r="B11" s="54"/>
      <c r="C11" s="56"/>
      <c r="D11" s="56"/>
      <c r="E11" s="56"/>
      <c r="F11" s="56"/>
      <c r="G11" s="57"/>
      <c r="H11" s="57"/>
      <c r="I11" s="205"/>
      <c r="J11" s="175"/>
      <c r="K11" s="175"/>
      <c r="L11" s="206"/>
      <c r="M11" s="207"/>
    </row>
    <row r="12" spans="1:13" ht="17.25" customHeight="1" x14ac:dyDescent="0.25">
      <c r="A12" s="139">
        <v>43643</v>
      </c>
      <c r="B12" s="115" t="s">
        <v>2759</v>
      </c>
      <c r="C12" s="116" t="s">
        <v>2760</v>
      </c>
      <c r="D12" s="116" t="s">
        <v>2630</v>
      </c>
      <c r="E12" s="116" t="s">
        <v>2551</v>
      </c>
      <c r="F12" s="116" t="s">
        <v>2761</v>
      </c>
      <c r="G12" s="61">
        <v>1822950</v>
      </c>
      <c r="H12" s="61">
        <v>182295</v>
      </c>
      <c r="I12" s="212"/>
      <c r="L12" s="3"/>
      <c r="M12" s="5"/>
    </row>
    <row r="13" spans="1:13" ht="17.25" customHeight="1" x14ac:dyDescent="0.25">
      <c r="A13" s="139"/>
      <c r="B13" s="115"/>
      <c r="C13" s="116"/>
      <c r="D13" s="116"/>
      <c r="E13" s="116"/>
      <c r="F13" s="116"/>
      <c r="G13" s="61"/>
      <c r="H13" s="61"/>
      <c r="I13" s="212"/>
      <c r="L13" s="3"/>
      <c r="M13" s="5"/>
    </row>
    <row r="14" spans="1:13" ht="17.25" customHeight="1" x14ac:dyDescent="0.25">
      <c r="A14" s="139">
        <v>43664</v>
      </c>
      <c r="B14" s="115" t="s">
        <v>2762</v>
      </c>
      <c r="C14" s="116" t="s">
        <v>2763</v>
      </c>
      <c r="D14" s="116" t="s">
        <v>2749</v>
      </c>
      <c r="E14" s="116" t="s">
        <v>2750</v>
      </c>
      <c r="F14" s="116" t="s">
        <v>2764</v>
      </c>
      <c r="G14" s="61">
        <v>31612453</v>
      </c>
      <c r="H14" s="61">
        <v>3161245</v>
      </c>
      <c r="I14" s="181"/>
      <c r="L14" s="3"/>
      <c r="M14" s="5"/>
    </row>
    <row r="15" spans="1:13" ht="17.25" customHeight="1" x14ac:dyDescent="0.25">
      <c r="A15" s="139">
        <v>43664</v>
      </c>
      <c r="B15" s="115" t="s">
        <v>2765</v>
      </c>
      <c r="C15" s="116" t="s">
        <v>2766</v>
      </c>
      <c r="D15" s="116" t="s">
        <v>2749</v>
      </c>
      <c r="E15" s="116" t="s">
        <v>2754</v>
      </c>
      <c r="F15" s="116" t="s">
        <v>2764</v>
      </c>
      <c r="G15" s="61">
        <v>20785671</v>
      </c>
      <c r="H15" s="61">
        <v>2078567</v>
      </c>
      <c r="I15" s="181"/>
      <c r="L15" s="3"/>
      <c r="M15" s="5"/>
    </row>
    <row r="16" spans="1:13" ht="17.25" customHeight="1" x14ac:dyDescent="0.25">
      <c r="A16" s="139">
        <v>43664</v>
      </c>
      <c r="B16" s="115" t="s">
        <v>2767</v>
      </c>
      <c r="C16" s="116" t="s">
        <v>2768</v>
      </c>
      <c r="D16" s="116" t="s">
        <v>2749</v>
      </c>
      <c r="E16" s="116" t="s">
        <v>2769</v>
      </c>
      <c r="F16" s="116" t="s">
        <v>2770</v>
      </c>
      <c r="G16" s="61">
        <v>49339730</v>
      </c>
      <c r="H16" s="61">
        <v>4933973</v>
      </c>
      <c r="I16" s="181"/>
      <c r="L16" s="3"/>
      <c r="M16" s="5"/>
    </row>
    <row r="17" spans="1:13" ht="17.25" customHeight="1" x14ac:dyDescent="0.25">
      <c r="A17" s="141"/>
      <c r="B17" s="135"/>
      <c r="C17" s="136"/>
      <c r="D17" s="136"/>
      <c r="E17" s="136"/>
      <c r="F17" s="136"/>
      <c r="G17" s="138"/>
      <c r="H17" s="138"/>
      <c r="I17" s="181"/>
      <c r="L17" s="3"/>
      <c r="M17" s="5"/>
    </row>
    <row r="18" spans="1:13" ht="17.25" customHeight="1" x14ac:dyDescent="0.25">
      <c r="A18" s="139">
        <v>43671</v>
      </c>
      <c r="B18" s="115" t="s">
        <v>2771</v>
      </c>
      <c r="C18" s="116" t="s">
        <v>2772</v>
      </c>
      <c r="D18" s="116" t="s">
        <v>2630</v>
      </c>
      <c r="E18" s="116" t="s">
        <v>2551</v>
      </c>
      <c r="F18" s="116" t="s">
        <v>2770</v>
      </c>
      <c r="G18" s="61">
        <v>1822950</v>
      </c>
      <c r="H18" s="61">
        <v>182295</v>
      </c>
      <c r="I18" s="181"/>
      <c r="L18" s="3"/>
      <c r="M18" s="5"/>
    </row>
    <row r="19" spans="1:13" ht="17.25" customHeight="1" x14ac:dyDescent="0.25">
      <c r="A19" s="139">
        <v>43671</v>
      </c>
      <c r="B19" s="115" t="s">
        <v>2773</v>
      </c>
      <c r="C19" s="116" t="s">
        <v>2774</v>
      </c>
      <c r="D19" s="116" t="s">
        <v>2630</v>
      </c>
      <c r="E19" s="116" t="s">
        <v>2547</v>
      </c>
      <c r="F19" s="116" t="s">
        <v>2770</v>
      </c>
      <c r="G19" s="61">
        <v>1155150</v>
      </c>
      <c r="H19" s="61">
        <v>115515</v>
      </c>
      <c r="I19" s="181"/>
      <c r="L19" s="3"/>
      <c r="M19" s="5"/>
    </row>
    <row r="20" spans="1:13" ht="17.25" customHeight="1" x14ac:dyDescent="0.25">
      <c r="A20" s="139">
        <v>43671</v>
      </c>
      <c r="B20" s="115" t="s">
        <v>2775</v>
      </c>
      <c r="C20" s="116" t="s">
        <v>2776</v>
      </c>
      <c r="D20" s="116" t="s">
        <v>2630</v>
      </c>
      <c r="E20" s="116" t="s">
        <v>2554</v>
      </c>
      <c r="F20" s="116" t="s">
        <v>2770</v>
      </c>
      <c r="G20" s="61">
        <v>1319700</v>
      </c>
      <c r="H20" s="61">
        <v>131970</v>
      </c>
      <c r="I20" s="181"/>
      <c r="L20" s="3"/>
      <c r="M20" s="5"/>
    </row>
    <row r="21" spans="1:13" ht="17.25" customHeight="1" x14ac:dyDescent="0.25">
      <c r="A21" s="141"/>
      <c r="B21" s="135"/>
      <c r="C21" s="136"/>
      <c r="D21" s="136"/>
      <c r="E21" s="136"/>
      <c r="F21" s="136"/>
      <c r="G21" s="138"/>
      <c r="H21" s="138"/>
      <c r="I21" s="181"/>
      <c r="L21" s="3"/>
      <c r="M21" s="5"/>
    </row>
    <row r="22" spans="1:13" ht="17.25" customHeight="1" x14ac:dyDescent="0.25">
      <c r="A22" s="142" t="s">
        <v>2777</v>
      </c>
      <c r="B22" s="115" t="s">
        <v>2778</v>
      </c>
      <c r="C22" s="116" t="s">
        <v>2779</v>
      </c>
      <c r="D22" s="116" t="s">
        <v>2630</v>
      </c>
      <c r="E22" s="116" t="s">
        <v>2551</v>
      </c>
      <c r="F22" s="116" t="s">
        <v>2780</v>
      </c>
      <c r="G22" s="61">
        <v>1822950</v>
      </c>
      <c r="H22" s="61">
        <v>182295</v>
      </c>
      <c r="I22" s="212"/>
      <c r="L22" s="3"/>
      <c r="M22" s="5"/>
    </row>
    <row r="23" spans="1:13" ht="17.25" customHeight="1" x14ac:dyDescent="0.25">
      <c r="A23" s="142" t="s">
        <v>2777</v>
      </c>
      <c r="B23" s="115" t="s">
        <v>2781</v>
      </c>
      <c r="C23" s="116" t="s">
        <v>2782</v>
      </c>
      <c r="D23" s="116" t="s">
        <v>2630</v>
      </c>
      <c r="E23" s="116" t="s">
        <v>2547</v>
      </c>
      <c r="F23" s="116" t="s">
        <v>2780</v>
      </c>
      <c r="G23" s="61">
        <v>1155150</v>
      </c>
      <c r="H23" s="61">
        <v>115515</v>
      </c>
      <c r="I23" s="212"/>
      <c r="L23" s="3"/>
      <c r="M23" s="5"/>
    </row>
    <row r="24" spans="1:13" ht="17.25" customHeight="1" x14ac:dyDescent="0.25">
      <c r="A24" s="142" t="s">
        <v>2777</v>
      </c>
      <c r="B24" s="115" t="s">
        <v>2783</v>
      </c>
      <c r="C24" s="116" t="s">
        <v>2784</v>
      </c>
      <c r="D24" s="116" t="s">
        <v>2630</v>
      </c>
      <c r="E24" s="116" t="s">
        <v>2554</v>
      </c>
      <c r="F24" s="116" t="s">
        <v>2780</v>
      </c>
      <c r="G24" s="61">
        <v>1319700</v>
      </c>
      <c r="H24" s="61">
        <v>131970</v>
      </c>
      <c r="I24" s="212"/>
      <c r="L24" s="3"/>
      <c r="M24" s="5"/>
    </row>
    <row r="25" spans="1:13" ht="17.25" customHeight="1" x14ac:dyDescent="0.25">
      <c r="A25" s="213"/>
      <c r="B25" s="214"/>
      <c r="C25" s="215"/>
      <c r="D25" s="215"/>
      <c r="E25" s="214"/>
      <c r="F25" s="214"/>
      <c r="G25" s="216"/>
      <c r="H25" s="216"/>
      <c r="I25" s="217"/>
      <c r="L25" s="3"/>
      <c r="M25" s="5"/>
    </row>
    <row r="26" spans="1:13" ht="17.25" customHeight="1" x14ac:dyDescent="0.25">
      <c r="A26" s="142" t="s">
        <v>2785</v>
      </c>
      <c r="B26" s="115" t="s">
        <v>2786</v>
      </c>
      <c r="C26" s="116" t="s">
        <v>2787</v>
      </c>
      <c r="D26" s="116" t="s">
        <v>2788</v>
      </c>
      <c r="E26" s="116" t="s">
        <v>2643</v>
      </c>
      <c r="F26" s="116" t="s">
        <v>2780</v>
      </c>
      <c r="G26" s="61">
        <v>49339730</v>
      </c>
      <c r="H26" s="61">
        <v>4933973</v>
      </c>
      <c r="I26" s="212"/>
      <c r="J26" s="175"/>
      <c r="K26" s="175"/>
      <c r="L26" s="3"/>
      <c r="M26" s="5"/>
    </row>
    <row r="27" spans="1:13" ht="17.25" customHeight="1" x14ac:dyDescent="0.25">
      <c r="A27" s="168"/>
      <c r="B27" s="135"/>
      <c r="C27" s="136"/>
      <c r="D27" s="136"/>
      <c r="E27" s="136"/>
      <c r="F27" s="136"/>
      <c r="G27" s="138"/>
      <c r="H27" s="138"/>
      <c r="I27" s="218"/>
      <c r="J27" s="175"/>
      <c r="K27" s="175"/>
      <c r="L27" s="3"/>
      <c r="M27" s="5"/>
    </row>
    <row r="28" spans="1:13" ht="17.25" customHeight="1" x14ac:dyDescent="0.25">
      <c r="A28" s="139">
        <v>43733</v>
      </c>
      <c r="B28" s="116" t="s">
        <v>2789</v>
      </c>
      <c r="C28" s="116" t="s">
        <v>2790</v>
      </c>
      <c r="D28" s="116" t="s">
        <v>2630</v>
      </c>
      <c r="E28" s="116" t="s">
        <v>2551</v>
      </c>
      <c r="F28" s="116" t="s">
        <v>2791</v>
      </c>
      <c r="G28" s="61">
        <v>1822950</v>
      </c>
      <c r="H28" s="61">
        <v>182295</v>
      </c>
      <c r="I28" s="219"/>
      <c r="J28" s="175"/>
      <c r="K28" s="175"/>
      <c r="L28" s="3"/>
      <c r="M28" s="5"/>
    </row>
    <row r="29" spans="1:13" ht="17.25" customHeight="1" x14ac:dyDescent="0.25">
      <c r="A29" s="139">
        <v>43733</v>
      </c>
      <c r="B29" s="116" t="s">
        <v>2792</v>
      </c>
      <c r="C29" s="116" t="s">
        <v>2793</v>
      </c>
      <c r="D29" s="116" t="s">
        <v>2630</v>
      </c>
      <c r="E29" s="116" t="s">
        <v>2547</v>
      </c>
      <c r="F29" s="116" t="s">
        <v>2791</v>
      </c>
      <c r="G29" s="61">
        <v>1155150</v>
      </c>
      <c r="H29" s="61">
        <v>115515</v>
      </c>
      <c r="I29" s="219"/>
      <c r="J29" s="175"/>
      <c r="K29" s="175"/>
      <c r="L29" s="3"/>
      <c r="M29" s="5"/>
    </row>
    <row r="30" spans="1:13" ht="17.25" customHeight="1" x14ac:dyDescent="0.25">
      <c r="A30" s="139">
        <v>43733</v>
      </c>
      <c r="B30" s="116" t="s">
        <v>2794</v>
      </c>
      <c r="C30" s="116" t="s">
        <v>2795</v>
      </c>
      <c r="D30" s="116" t="s">
        <v>2630</v>
      </c>
      <c r="E30" s="116" t="s">
        <v>2554</v>
      </c>
      <c r="F30" s="116" t="s">
        <v>2791</v>
      </c>
      <c r="G30" s="61">
        <v>1319700</v>
      </c>
      <c r="H30" s="61">
        <v>131970</v>
      </c>
      <c r="I30" s="181"/>
      <c r="L30" s="3"/>
      <c r="M30" s="5"/>
    </row>
    <row r="31" spans="1:13" ht="17.25" customHeight="1" x14ac:dyDescent="0.25">
      <c r="A31" s="141"/>
      <c r="B31" s="136"/>
      <c r="C31" s="136"/>
      <c r="D31" s="136"/>
      <c r="E31" s="136"/>
      <c r="F31" s="136"/>
      <c r="G31" s="138"/>
      <c r="H31" s="138"/>
      <c r="I31" s="181"/>
      <c r="L31" s="3"/>
      <c r="M31" s="5"/>
    </row>
    <row r="32" spans="1:13" ht="17.25" customHeight="1" x14ac:dyDescent="0.25">
      <c r="A32" s="139">
        <v>43739</v>
      </c>
      <c r="B32" s="116" t="s">
        <v>2796</v>
      </c>
      <c r="C32" s="116" t="s">
        <v>2797</v>
      </c>
      <c r="D32" s="116" t="s">
        <v>2630</v>
      </c>
      <c r="E32" s="116" t="s">
        <v>2551</v>
      </c>
      <c r="F32" s="116" t="s">
        <v>2798</v>
      </c>
      <c r="G32" s="61">
        <v>1625310</v>
      </c>
      <c r="H32" s="61">
        <v>162531</v>
      </c>
      <c r="I32" s="181"/>
      <c r="L32" s="3"/>
      <c r="M32" s="5"/>
    </row>
    <row r="33" spans="1:13" ht="17.25" customHeight="1" x14ac:dyDescent="0.2">
      <c r="A33" s="1"/>
      <c r="G33" s="3"/>
      <c r="H33" s="3"/>
      <c r="I33" s="181"/>
      <c r="L33" s="3"/>
      <c r="M33" s="5"/>
    </row>
    <row r="34" spans="1:13" ht="17.25" customHeight="1" x14ac:dyDescent="0.25">
      <c r="A34" s="220" t="s">
        <v>2799</v>
      </c>
      <c r="B34" s="42" t="s">
        <v>2800</v>
      </c>
      <c r="C34" s="42" t="s">
        <v>2801</v>
      </c>
      <c r="D34" s="42" t="s">
        <v>2630</v>
      </c>
      <c r="E34" s="42" t="s">
        <v>2547</v>
      </c>
      <c r="F34" s="42" t="s">
        <v>2798</v>
      </c>
      <c r="G34" s="43">
        <v>871200</v>
      </c>
      <c r="H34" s="43">
        <v>87120</v>
      </c>
      <c r="I34" s="4"/>
      <c r="L34" s="3"/>
      <c r="M34" s="5"/>
    </row>
    <row r="35" spans="1:13" ht="17.25" customHeight="1" x14ac:dyDescent="0.25">
      <c r="A35" s="220" t="s">
        <v>2799</v>
      </c>
      <c r="B35" s="42" t="s">
        <v>2802</v>
      </c>
      <c r="C35" s="42" t="s">
        <v>2803</v>
      </c>
      <c r="D35" s="42" t="s">
        <v>2630</v>
      </c>
      <c r="E35" s="42" t="s">
        <v>2543</v>
      </c>
      <c r="F35" s="42" t="s">
        <v>2798</v>
      </c>
      <c r="G35" s="43">
        <v>1101720</v>
      </c>
      <c r="H35" s="43">
        <v>110172</v>
      </c>
      <c r="I35" s="4"/>
      <c r="L35" s="3"/>
      <c r="M35" s="5"/>
    </row>
    <row r="36" spans="1:13" ht="17.25" customHeight="1" x14ac:dyDescent="0.25">
      <c r="A36" s="154"/>
      <c r="B36" s="56"/>
      <c r="C36" s="56"/>
      <c r="D36" s="56"/>
      <c r="E36" s="56"/>
      <c r="F36" s="56"/>
      <c r="G36" s="57"/>
      <c r="H36" s="57"/>
      <c r="I36" s="4"/>
      <c r="L36" s="3"/>
      <c r="M36" s="5"/>
    </row>
    <row r="37" spans="1:13" ht="17.25" customHeight="1" x14ac:dyDescent="0.25">
      <c r="A37" s="84">
        <v>43770</v>
      </c>
      <c r="B37" s="42" t="s">
        <v>2804</v>
      </c>
      <c r="C37" s="42" t="s">
        <v>2805</v>
      </c>
      <c r="D37" s="42" t="s">
        <v>2630</v>
      </c>
      <c r="E37" s="42" t="s">
        <v>2551</v>
      </c>
      <c r="F37" s="42" t="s">
        <v>2806</v>
      </c>
      <c r="G37" s="43">
        <v>1493550</v>
      </c>
      <c r="H37" s="43">
        <v>149355</v>
      </c>
      <c r="I37" s="85"/>
      <c r="J37" s="87"/>
      <c r="K37" s="87"/>
      <c r="L37" s="86"/>
      <c r="M37" s="221"/>
    </row>
    <row r="38" spans="1:13" ht="17.25" customHeight="1" x14ac:dyDescent="0.25">
      <c r="A38" s="84">
        <v>43770</v>
      </c>
      <c r="B38" s="42" t="s">
        <v>2807</v>
      </c>
      <c r="C38" s="42" t="s">
        <v>2808</v>
      </c>
      <c r="D38" s="42" t="s">
        <v>2630</v>
      </c>
      <c r="E38" s="42" t="s">
        <v>2547</v>
      </c>
      <c r="F38" s="42" t="s">
        <v>2806</v>
      </c>
      <c r="G38" s="43">
        <v>681900</v>
      </c>
      <c r="H38" s="43">
        <v>68190</v>
      </c>
      <c r="I38" s="85"/>
      <c r="J38" s="87"/>
      <c r="K38" s="87"/>
      <c r="L38" s="86"/>
      <c r="M38" s="221"/>
    </row>
    <row r="39" spans="1:13" ht="17.25" customHeight="1" x14ac:dyDescent="0.25">
      <c r="A39" s="84">
        <v>43770</v>
      </c>
      <c r="B39" s="42" t="s">
        <v>2809</v>
      </c>
      <c r="C39" s="42" t="s">
        <v>2810</v>
      </c>
      <c r="D39" s="42" t="s">
        <v>2630</v>
      </c>
      <c r="E39" s="42" t="s">
        <v>2554</v>
      </c>
      <c r="F39" s="42" t="s">
        <v>2806</v>
      </c>
      <c r="G39" s="43">
        <v>956400</v>
      </c>
      <c r="H39" s="43">
        <v>95640</v>
      </c>
      <c r="I39" s="85"/>
      <c r="J39" s="87"/>
      <c r="K39" s="87"/>
      <c r="L39" s="86"/>
      <c r="M39" s="221"/>
    </row>
    <row r="40" spans="1:13" ht="17.25" customHeight="1" x14ac:dyDescent="0.25">
      <c r="A40" s="161"/>
      <c r="B40" s="149"/>
      <c r="C40" s="149"/>
      <c r="D40" s="149"/>
      <c r="E40" s="149"/>
      <c r="F40" s="149"/>
      <c r="G40" s="150"/>
      <c r="H40" s="150"/>
      <c r="I40" s="4"/>
      <c r="L40" s="3"/>
      <c r="M40" s="5"/>
    </row>
    <row r="41" spans="1:13" ht="17.25" customHeight="1" x14ac:dyDescent="0.25">
      <c r="A41" s="84">
        <v>43770</v>
      </c>
      <c r="B41" s="42" t="s">
        <v>2811</v>
      </c>
      <c r="C41" s="42" t="s">
        <v>2812</v>
      </c>
      <c r="D41" s="42" t="s">
        <v>2813</v>
      </c>
      <c r="E41" s="42" t="s">
        <v>2814</v>
      </c>
      <c r="F41" s="42" t="s">
        <v>2815</v>
      </c>
      <c r="G41" s="43">
        <v>487500</v>
      </c>
      <c r="H41" s="43">
        <v>48750</v>
      </c>
      <c r="I41" s="85"/>
      <c r="J41" s="87"/>
      <c r="K41" s="87"/>
      <c r="L41" s="86"/>
      <c r="M41" s="221"/>
    </row>
    <row r="42" spans="1:13" ht="17.25" customHeight="1" x14ac:dyDescent="0.25">
      <c r="A42" s="220"/>
      <c r="B42" s="42"/>
      <c r="C42" s="42"/>
      <c r="D42" s="42"/>
      <c r="E42" s="42"/>
      <c r="F42" s="42"/>
      <c r="G42" s="43"/>
      <c r="H42" s="43"/>
      <c r="I42" s="4"/>
      <c r="L42" s="3"/>
      <c r="M42" s="5"/>
    </row>
    <row r="43" spans="1:13" ht="17.25" customHeight="1" x14ac:dyDescent="0.25">
      <c r="A43" s="220" t="s">
        <v>2816</v>
      </c>
      <c r="B43" s="42" t="s">
        <v>2817</v>
      </c>
      <c r="C43" s="42" t="s">
        <v>2818</v>
      </c>
      <c r="D43" s="42" t="s">
        <v>2630</v>
      </c>
      <c r="E43" s="42" t="s">
        <v>2819</v>
      </c>
      <c r="F43" s="42" t="s">
        <v>2820</v>
      </c>
      <c r="G43" s="43">
        <v>1493550</v>
      </c>
      <c r="H43" s="43">
        <v>149355</v>
      </c>
      <c r="I43" s="85"/>
      <c r="J43" s="87"/>
      <c r="K43" s="87"/>
      <c r="L43" s="86"/>
      <c r="M43" s="221"/>
    </row>
    <row r="44" spans="1:13" ht="17.25" customHeight="1" x14ac:dyDescent="0.25">
      <c r="A44" s="220" t="s">
        <v>2816</v>
      </c>
      <c r="B44" s="42" t="s">
        <v>2821</v>
      </c>
      <c r="C44" s="42" t="s">
        <v>2822</v>
      </c>
      <c r="D44" s="42" t="s">
        <v>2630</v>
      </c>
      <c r="E44" s="42" t="s">
        <v>2547</v>
      </c>
      <c r="F44" s="42" t="s">
        <v>2820</v>
      </c>
      <c r="G44" s="43">
        <v>681900</v>
      </c>
      <c r="H44" s="43">
        <v>68190</v>
      </c>
      <c r="I44" s="85"/>
      <c r="J44" s="87"/>
      <c r="K44" s="87"/>
      <c r="L44" s="86"/>
      <c r="M44" s="221"/>
    </row>
    <row r="45" spans="1:13" ht="17.25" customHeight="1" x14ac:dyDescent="0.25">
      <c r="A45" s="38"/>
      <c r="B45" s="36"/>
      <c r="C45" s="36"/>
      <c r="D45" s="36"/>
      <c r="E45" s="36"/>
      <c r="F45" s="36"/>
      <c r="G45" s="37"/>
      <c r="H45" s="37"/>
      <c r="I45" s="4"/>
      <c r="L45" s="3"/>
      <c r="M45" s="5"/>
    </row>
    <row r="46" spans="1:13" ht="17.25" customHeight="1" x14ac:dyDescent="0.25">
      <c r="A46" s="220" t="s">
        <v>2823</v>
      </c>
      <c r="B46" s="42" t="s">
        <v>2824</v>
      </c>
      <c r="C46" s="42" t="s">
        <v>2825</v>
      </c>
      <c r="D46" s="42" t="s">
        <v>2630</v>
      </c>
      <c r="E46" s="42" t="s">
        <v>2543</v>
      </c>
      <c r="F46" s="42" t="s">
        <v>2820</v>
      </c>
      <c r="G46" s="43">
        <v>956400</v>
      </c>
      <c r="H46" s="43">
        <v>95640</v>
      </c>
      <c r="I46" s="85"/>
      <c r="J46" s="87"/>
      <c r="K46" s="87"/>
      <c r="L46" s="86"/>
      <c r="M46" s="221"/>
    </row>
    <row r="47" spans="1:13" ht="17.25" customHeight="1" x14ac:dyDescent="0.2">
      <c r="A47" s="1"/>
      <c r="G47" s="3"/>
      <c r="H47" s="3"/>
      <c r="I47" s="4"/>
      <c r="L47" s="3"/>
      <c r="M47" s="5"/>
    </row>
    <row r="48" spans="1:13" ht="17.25" customHeight="1" x14ac:dyDescent="0.2">
      <c r="A48" s="1"/>
      <c r="G48" s="3"/>
      <c r="H48" s="3"/>
      <c r="I48" s="4"/>
      <c r="L48" s="3"/>
      <c r="M48" s="5"/>
    </row>
    <row r="49" spans="1:13" ht="17.25" customHeight="1" x14ac:dyDescent="0.2">
      <c r="A49" s="1"/>
      <c r="G49" s="3"/>
      <c r="H49" s="3"/>
      <c r="I49" s="4"/>
      <c r="L49" s="3"/>
      <c r="M49" s="5"/>
    </row>
    <row r="50" spans="1:13" ht="17.25" customHeight="1" x14ac:dyDescent="0.2">
      <c r="A50" s="1"/>
      <c r="G50" s="3"/>
      <c r="H50" s="3"/>
      <c r="I50" s="4"/>
      <c r="L50" s="3"/>
      <c r="M50" s="5"/>
    </row>
    <row r="51" spans="1:13" ht="17.25" customHeight="1" x14ac:dyDescent="0.2">
      <c r="A51" s="1"/>
      <c r="G51" s="3"/>
      <c r="H51" s="3"/>
      <c r="I51" s="4"/>
      <c r="L51" s="222">
        <v>2019</v>
      </c>
      <c r="M51" s="223">
        <f>SUM(M4:M47)</f>
        <v>0</v>
      </c>
    </row>
    <row r="52" spans="1:13" ht="17.25" customHeight="1" x14ac:dyDescent="0.2">
      <c r="A52" s="1"/>
      <c r="G52" s="3"/>
      <c r="H52" s="3"/>
      <c r="I52" s="4"/>
      <c r="L52" s="3"/>
      <c r="M52" s="5"/>
    </row>
    <row r="53" spans="1:13" ht="17.25" customHeight="1" x14ac:dyDescent="0.2">
      <c r="A53" s="1"/>
      <c r="G53" s="3"/>
      <c r="H53" s="3"/>
      <c r="I53" s="4"/>
      <c r="L53" s="3"/>
      <c r="M53" s="8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N6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.5" style="147" bestFit="1" customWidth="1"/>
    <col min="2" max="2" width="19.1640625" bestFit="1" customWidth="1"/>
    <col min="3" max="3" width="25" bestFit="1" customWidth="1"/>
    <col min="4" max="4" width="17.6640625" bestFit="1" customWidth="1"/>
    <col min="5" max="6" width="12.5" bestFit="1" customWidth="1"/>
    <col min="7" max="7" width="14" style="128" bestFit="1" customWidth="1"/>
    <col min="8" max="8" width="13.6640625" style="128" bestFit="1" customWidth="1"/>
    <col min="9" max="9" width="14.83203125" bestFit="1" customWidth="1"/>
    <col min="10" max="10" width="14.33203125" bestFit="1" customWidth="1"/>
    <col min="11" max="11" width="22.1640625" bestFit="1" customWidth="1"/>
    <col min="12" max="12" width="12.5" bestFit="1" customWidth="1"/>
    <col min="13" max="13" width="13.6640625" style="80" bestFit="1" customWidth="1"/>
    <col min="14" max="14" width="15.1640625" bestFit="1" customWidth="1"/>
  </cols>
  <sheetData>
    <row r="1" spans="1:13" ht="17.25" customHeight="1" x14ac:dyDescent="0.2">
      <c r="A1" s="83">
        <v>2020</v>
      </c>
      <c r="G1" s="3"/>
      <c r="H1" s="3"/>
      <c r="M1" s="3"/>
    </row>
    <row r="2" spans="1:13" ht="17.25" customHeight="1" x14ac:dyDescent="0.2">
      <c r="A2" s="1"/>
      <c r="G2" s="3"/>
      <c r="H2" s="3"/>
      <c r="M2" s="3"/>
    </row>
    <row r="3" spans="1:13" ht="17.25" customHeight="1" x14ac:dyDescent="0.25">
      <c r="A3" s="129" t="s">
        <v>0</v>
      </c>
      <c r="B3" s="130" t="s">
        <v>1</v>
      </c>
      <c r="C3" s="130" t="s">
        <v>2</v>
      </c>
      <c r="D3" s="130" t="s">
        <v>3</v>
      </c>
      <c r="E3" s="130" t="s">
        <v>4</v>
      </c>
      <c r="F3" s="130" t="s">
        <v>5</v>
      </c>
      <c r="G3" s="131" t="s">
        <v>6</v>
      </c>
      <c r="H3" s="131" t="s">
        <v>7</v>
      </c>
      <c r="I3" s="132" t="s">
        <v>8</v>
      </c>
      <c r="J3" s="132" t="s">
        <v>9</v>
      </c>
      <c r="K3" s="132" t="s">
        <v>10</v>
      </c>
      <c r="L3" s="132" t="s">
        <v>11</v>
      </c>
      <c r="M3" s="148" t="s">
        <v>12</v>
      </c>
    </row>
    <row r="4" spans="1:13" ht="17.25" customHeight="1" x14ac:dyDescent="0.25">
      <c r="A4" s="134"/>
      <c r="B4" s="151"/>
      <c r="C4" s="151"/>
      <c r="D4" s="151"/>
      <c r="E4" s="151"/>
      <c r="F4" s="151"/>
      <c r="G4" s="170"/>
      <c r="H4" s="170"/>
      <c r="M4" s="3"/>
    </row>
    <row r="5" spans="1:13" ht="17.25" customHeight="1" x14ac:dyDescent="0.25">
      <c r="A5" s="114"/>
      <c r="B5" s="165"/>
      <c r="C5" s="165"/>
      <c r="D5" s="165"/>
      <c r="E5" s="165"/>
      <c r="F5" s="165"/>
      <c r="G5" s="171"/>
      <c r="H5" s="171"/>
      <c r="M5" s="3"/>
    </row>
    <row r="6" spans="1:13" ht="17.25" customHeight="1" x14ac:dyDescent="0.25">
      <c r="A6" s="88">
        <v>43862</v>
      </c>
      <c r="B6" s="172" t="s">
        <v>2679</v>
      </c>
      <c r="C6" s="172" t="s">
        <v>2680</v>
      </c>
      <c r="D6" s="173" t="s">
        <v>2630</v>
      </c>
      <c r="E6" s="173" t="s">
        <v>2551</v>
      </c>
      <c r="F6" s="173" t="s">
        <v>2656</v>
      </c>
      <c r="G6" s="174">
        <v>1493550</v>
      </c>
      <c r="H6" s="174">
        <v>149355</v>
      </c>
      <c r="I6" s="175"/>
      <c r="J6" s="175"/>
      <c r="K6" s="175"/>
      <c r="L6" s="175"/>
      <c r="M6" s="3"/>
    </row>
    <row r="7" spans="1:13" ht="17.25" customHeight="1" x14ac:dyDescent="0.25">
      <c r="A7" s="74">
        <v>43862</v>
      </c>
      <c r="B7" s="172" t="s">
        <v>2681</v>
      </c>
      <c r="C7" s="172" t="s">
        <v>2682</v>
      </c>
      <c r="D7" s="172" t="s">
        <v>2630</v>
      </c>
      <c r="E7" s="172" t="s">
        <v>2547</v>
      </c>
      <c r="F7" s="172" t="s">
        <v>2656</v>
      </c>
      <c r="G7" s="176">
        <v>681900</v>
      </c>
      <c r="H7" s="176">
        <v>68190</v>
      </c>
      <c r="I7" s="175"/>
      <c r="J7" s="175"/>
      <c r="K7" s="175"/>
      <c r="L7" s="175"/>
      <c r="M7" s="3"/>
    </row>
    <row r="8" spans="1:13" ht="17.25" customHeight="1" x14ac:dyDescent="0.25">
      <c r="A8" s="74">
        <v>43862</v>
      </c>
      <c r="B8" s="172" t="s">
        <v>2683</v>
      </c>
      <c r="C8" s="172" t="s">
        <v>2684</v>
      </c>
      <c r="D8" s="172" t="s">
        <v>2630</v>
      </c>
      <c r="E8" s="172" t="s">
        <v>2554</v>
      </c>
      <c r="F8" s="172" t="s">
        <v>2656</v>
      </c>
      <c r="G8" s="176">
        <v>956400</v>
      </c>
      <c r="H8" s="176">
        <v>95640</v>
      </c>
      <c r="I8" s="175"/>
      <c r="J8" s="175"/>
      <c r="K8" s="175"/>
      <c r="L8" s="175"/>
      <c r="M8" s="3"/>
    </row>
    <row r="9" spans="1:13" ht="17.25" customHeight="1" x14ac:dyDescent="0.25">
      <c r="A9" s="177"/>
      <c r="B9" s="178"/>
      <c r="C9" s="178"/>
      <c r="D9" s="178"/>
      <c r="E9" s="178"/>
      <c r="F9" s="178"/>
      <c r="G9" s="179"/>
      <c r="H9" s="179"/>
      <c r="I9" s="175"/>
      <c r="J9" s="175"/>
      <c r="K9" s="175"/>
      <c r="L9" s="175"/>
      <c r="M9" s="3"/>
    </row>
    <row r="10" spans="1:13" ht="17.25" customHeight="1" x14ac:dyDescent="0.25">
      <c r="A10" s="11"/>
      <c r="B10" s="12"/>
      <c r="C10" s="12"/>
      <c r="D10" s="12"/>
      <c r="E10" s="12"/>
      <c r="F10" s="12"/>
      <c r="G10" s="15"/>
      <c r="H10" s="15"/>
      <c r="I10" s="175"/>
      <c r="J10" s="175"/>
      <c r="K10" s="175"/>
      <c r="L10" s="175"/>
      <c r="M10" s="3"/>
    </row>
    <row r="11" spans="1:13" ht="17.25" customHeight="1" x14ac:dyDescent="0.25">
      <c r="A11" s="155">
        <v>43892</v>
      </c>
      <c r="B11" s="115" t="s">
        <v>2685</v>
      </c>
      <c r="C11" s="115" t="s">
        <v>2686</v>
      </c>
      <c r="D11" s="140" t="s">
        <v>2630</v>
      </c>
      <c r="E11" s="140" t="s">
        <v>2547</v>
      </c>
      <c r="F11" s="140" t="s">
        <v>2687</v>
      </c>
      <c r="G11" s="180">
        <v>681900</v>
      </c>
      <c r="H11" s="180">
        <v>68190</v>
      </c>
      <c r="I11" s="181"/>
      <c r="M11" s="3"/>
    </row>
    <row r="12" spans="1:13" ht="17.25" customHeight="1" x14ac:dyDescent="0.25">
      <c r="A12" s="155">
        <v>43892</v>
      </c>
      <c r="B12" s="115" t="s">
        <v>2688</v>
      </c>
      <c r="C12" s="115" t="s">
        <v>2689</v>
      </c>
      <c r="D12" s="140" t="s">
        <v>2630</v>
      </c>
      <c r="E12" s="140" t="s">
        <v>2551</v>
      </c>
      <c r="F12" s="140" t="s">
        <v>2687</v>
      </c>
      <c r="G12" s="180">
        <v>1493550</v>
      </c>
      <c r="H12" s="180">
        <v>149355</v>
      </c>
      <c r="I12" s="181"/>
      <c r="M12" s="3"/>
    </row>
    <row r="13" spans="1:13" ht="17.25" customHeight="1" x14ac:dyDescent="0.25">
      <c r="A13" s="155">
        <v>43892</v>
      </c>
      <c r="B13" s="115" t="s">
        <v>2690</v>
      </c>
      <c r="C13" s="115" t="s">
        <v>2691</v>
      </c>
      <c r="D13" s="140" t="s">
        <v>2630</v>
      </c>
      <c r="E13" s="140" t="s">
        <v>2543</v>
      </c>
      <c r="F13" s="140" t="s">
        <v>2687</v>
      </c>
      <c r="G13" s="180">
        <v>956400</v>
      </c>
      <c r="H13" s="180">
        <v>95640</v>
      </c>
      <c r="I13" s="181"/>
      <c r="M13" s="3"/>
    </row>
    <row r="14" spans="1:13" ht="17.25" customHeight="1" x14ac:dyDescent="0.25">
      <c r="A14" s="169"/>
      <c r="B14" s="135"/>
      <c r="C14" s="135"/>
      <c r="D14" s="137"/>
      <c r="E14" s="137"/>
      <c r="F14" s="137"/>
      <c r="G14" s="182"/>
      <c r="H14" s="182"/>
      <c r="I14" s="181"/>
      <c r="M14" s="3"/>
    </row>
    <row r="15" spans="1:13" ht="17.25" customHeight="1" x14ac:dyDescent="0.25">
      <c r="A15" s="155">
        <v>43892</v>
      </c>
      <c r="B15" s="115" t="s">
        <v>2692</v>
      </c>
      <c r="C15" s="115" t="s">
        <v>2693</v>
      </c>
      <c r="D15" s="140" t="s">
        <v>2630</v>
      </c>
      <c r="E15" s="140" t="s">
        <v>2547</v>
      </c>
      <c r="F15" s="140" t="s">
        <v>2694</v>
      </c>
      <c r="G15" s="180">
        <v>681900</v>
      </c>
      <c r="H15" s="180">
        <v>68190</v>
      </c>
      <c r="I15" s="181"/>
      <c r="M15" s="3"/>
    </row>
    <row r="16" spans="1:13" ht="17.25" customHeight="1" x14ac:dyDescent="0.25">
      <c r="A16" s="155">
        <v>43892</v>
      </c>
      <c r="B16" s="115" t="s">
        <v>2695</v>
      </c>
      <c r="C16" s="115" t="s">
        <v>2696</v>
      </c>
      <c r="D16" s="140" t="s">
        <v>2630</v>
      </c>
      <c r="E16" s="140" t="s">
        <v>2551</v>
      </c>
      <c r="F16" s="140" t="s">
        <v>2694</v>
      </c>
      <c r="G16" s="180">
        <v>1493550</v>
      </c>
      <c r="H16" s="180">
        <v>149355</v>
      </c>
      <c r="I16" s="181"/>
      <c r="M16" s="3"/>
    </row>
    <row r="17" spans="1:14" ht="17.25" customHeight="1" x14ac:dyDescent="0.25">
      <c r="A17" s="155">
        <v>43892</v>
      </c>
      <c r="B17" s="115" t="s">
        <v>2697</v>
      </c>
      <c r="C17" s="115" t="s">
        <v>2698</v>
      </c>
      <c r="D17" s="140" t="s">
        <v>2630</v>
      </c>
      <c r="E17" s="140" t="s">
        <v>2543</v>
      </c>
      <c r="F17" s="140" t="s">
        <v>2694</v>
      </c>
      <c r="G17" s="180">
        <v>956400</v>
      </c>
      <c r="H17" s="180">
        <v>95640</v>
      </c>
      <c r="I17" s="181"/>
      <c r="M17" s="3"/>
    </row>
    <row r="18" spans="1:14" ht="17.25" customHeight="1" x14ac:dyDescent="0.25">
      <c r="A18" s="155"/>
      <c r="B18" s="115"/>
      <c r="C18" s="115"/>
      <c r="D18" s="140"/>
      <c r="E18" s="140"/>
      <c r="F18" s="140"/>
      <c r="G18" s="180"/>
      <c r="H18" s="180"/>
      <c r="I18" s="181"/>
      <c r="M18" s="3"/>
    </row>
    <row r="19" spans="1:14" ht="17.25" customHeight="1" x14ac:dyDescent="0.25">
      <c r="A19" s="155">
        <v>43922</v>
      </c>
      <c r="B19" s="115" t="s">
        <v>2699</v>
      </c>
      <c r="C19" s="115" t="s">
        <v>2700</v>
      </c>
      <c r="D19" s="140" t="s">
        <v>2579</v>
      </c>
      <c r="E19" s="140" t="s">
        <v>2551</v>
      </c>
      <c r="F19" s="140" t="s">
        <v>2701</v>
      </c>
      <c r="G19" s="180">
        <v>1493550</v>
      </c>
      <c r="H19" s="180">
        <v>149355</v>
      </c>
      <c r="I19" s="181"/>
      <c r="M19" s="3"/>
      <c r="N19" s="62"/>
    </row>
    <row r="20" spans="1:14" ht="17.25" customHeight="1" x14ac:dyDescent="0.25">
      <c r="A20" s="155">
        <v>43922</v>
      </c>
      <c r="B20" s="115" t="s">
        <v>2702</v>
      </c>
      <c r="C20" s="115" t="s">
        <v>2703</v>
      </c>
      <c r="D20" s="140" t="s">
        <v>2579</v>
      </c>
      <c r="E20" s="140" t="s">
        <v>2547</v>
      </c>
      <c r="F20" s="140" t="s">
        <v>2701</v>
      </c>
      <c r="G20" s="180">
        <v>681900</v>
      </c>
      <c r="H20" s="180">
        <v>68190</v>
      </c>
      <c r="I20" s="181"/>
      <c r="M20" s="3"/>
    </row>
    <row r="21" spans="1:14" ht="17.25" customHeight="1" x14ac:dyDescent="0.25">
      <c r="A21" s="155">
        <v>43922</v>
      </c>
      <c r="B21" s="115" t="s">
        <v>2704</v>
      </c>
      <c r="C21" s="115" t="s">
        <v>2705</v>
      </c>
      <c r="D21" s="140" t="s">
        <v>2579</v>
      </c>
      <c r="E21" s="140" t="s">
        <v>2543</v>
      </c>
      <c r="F21" s="140" t="s">
        <v>2701</v>
      </c>
      <c r="G21" s="180">
        <v>956400</v>
      </c>
      <c r="H21" s="180">
        <v>95640</v>
      </c>
      <c r="I21" s="181"/>
      <c r="M21" s="3"/>
    </row>
    <row r="22" spans="1:14" ht="17.25" customHeight="1" x14ac:dyDescent="0.25">
      <c r="A22" s="169"/>
      <c r="B22" s="135"/>
      <c r="C22" s="135"/>
      <c r="D22" s="137"/>
      <c r="E22" s="137"/>
      <c r="F22" s="137"/>
      <c r="G22" s="182"/>
      <c r="H22" s="182"/>
      <c r="I22" s="181"/>
      <c r="M22" s="3"/>
    </row>
    <row r="23" spans="1:14" ht="17.25" customHeight="1" x14ac:dyDescent="0.25">
      <c r="A23" s="155">
        <v>43927</v>
      </c>
      <c r="B23" s="115" t="s">
        <v>2706</v>
      </c>
      <c r="C23" s="115" t="s">
        <v>2707</v>
      </c>
      <c r="D23" s="140" t="s">
        <v>1853</v>
      </c>
      <c r="E23" s="140" t="s">
        <v>2708</v>
      </c>
      <c r="F23" s="140" t="s">
        <v>2709</v>
      </c>
      <c r="G23" s="180">
        <v>135330</v>
      </c>
      <c r="H23" s="180">
        <v>13533</v>
      </c>
      <c r="I23" s="183"/>
      <c r="J23" s="87"/>
      <c r="K23" s="87"/>
      <c r="L23" s="184"/>
      <c r="M23" s="185"/>
      <c r="N23" s="62"/>
    </row>
    <row r="24" spans="1:14" ht="17.25" customHeight="1" x14ac:dyDescent="0.25">
      <c r="A24" s="155"/>
      <c r="B24" s="115"/>
      <c r="C24" s="115"/>
      <c r="D24" s="140"/>
      <c r="E24" s="140"/>
      <c r="F24" s="140"/>
      <c r="G24" s="180"/>
      <c r="H24" s="180"/>
      <c r="I24" s="183"/>
      <c r="J24" s="87"/>
      <c r="K24" s="87"/>
      <c r="L24" s="184"/>
      <c r="M24" s="185"/>
      <c r="N24" s="62"/>
    </row>
    <row r="25" spans="1:14" ht="17.25" customHeight="1" x14ac:dyDescent="0.25">
      <c r="A25" s="186">
        <v>43942</v>
      </c>
      <c r="B25" s="187" t="s">
        <v>2710</v>
      </c>
      <c r="C25" s="187" t="s">
        <v>2711</v>
      </c>
      <c r="D25" s="188" t="s">
        <v>2508</v>
      </c>
      <c r="E25" s="188" t="s">
        <v>2509</v>
      </c>
      <c r="F25" s="188" t="s">
        <v>2712</v>
      </c>
      <c r="G25" s="189">
        <v>9090909</v>
      </c>
      <c r="H25" s="189">
        <v>909090</v>
      </c>
      <c r="I25" s="181"/>
      <c r="M25" s="3"/>
    </row>
    <row r="26" spans="1:14" ht="17.25" customHeight="1" x14ac:dyDescent="0.25">
      <c r="A26" s="190"/>
      <c r="B26" s="158"/>
      <c r="C26" s="158"/>
      <c r="D26" s="191"/>
      <c r="E26" s="191"/>
      <c r="F26" s="191"/>
      <c r="G26" s="192"/>
      <c r="H26" s="192"/>
      <c r="I26" s="181"/>
      <c r="M26" s="3"/>
    </row>
    <row r="27" spans="1:14" ht="17.25" customHeight="1" x14ac:dyDescent="0.25">
      <c r="A27" s="94" t="s">
        <v>2713</v>
      </c>
      <c r="B27" s="75" t="s">
        <v>2714</v>
      </c>
      <c r="C27" s="75" t="s">
        <v>2715</v>
      </c>
      <c r="D27" s="89" t="s">
        <v>2630</v>
      </c>
      <c r="E27" s="89" t="s">
        <v>2551</v>
      </c>
      <c r="F27" s="89" t="s">
        <v>2716</v>
      </c>
      <c r="G27" s="77">
        <v>1493550</v>
      </c>
      <c r="H27" s="77">
        <v>149355</v>
      </c>
      <c r="I27" s="181"/>
      <c r="M27" s="3"/>
    </row>
    <row r="28" spans="1:14" ht="17.25" customHeight="1" x14ac:dyDescent="0.25">
      <c r="A28" s="94" t="s">
        <v>2713</v>
      </c>
      <c r="B28" s="75" t="s">
        <v>2717</v>
      </c>
      <c r="C28" s="75" t="s">
        <v>2718</v>
      </c>
      <c r="D28" s="89" t="s">
        <v>2630</v>
      </c>
      <c r="E28" s="89" t="s">
        <v>2547</v>
      </c>
      <c r="F28" s="89" t="s">
        <v>2716</v>
      </c>
      <c r="G28" s="77">
        <v>681900</v>
      </c>
      <c r="H28" s="77">
        <v>68190</v>
      </c>
      <c r="I28" s="181"/>
      <c r="M28" s="3"/>
    </row>
    <row r="29" spans="1:14" ht="17.25" customHeight="1" x14ac:dyDescent="0.25">
      <c r="A29" s="94" t="s">
        <v>2713</v>
      </c>
      <c r="B29" s="75" t="s">
        <v>2719</v>
      </c>
      <c r="C29" s="75" t="s">
        <v>2720</v>
      </c>
      <c r="D29" s="89" t="s">
        <v>2630</v>
      </c>
      <c r="E29" s="89" t="s">
        <v>2543</v>
      </c>
      <c r="F29" s="89" t="s">
        <v>2716</v>
      </c>
      <c r="G29" s="77">
        <v>956400</v>
      </c>
      <c r="H29" s="77">
        <v>95640</v>
      </c>
      <c r="I29" s="181"/>
      <c r="M29" s="3"/>
    </row>
    <row r="30" spans="1:14" ht="17.25" customHeight="1" x14ac:dyDescent="0.25">
      <c r="A30" s="193"/>
      <c r="B30" s="145"/>
      <c r="C30" s="145"/>
      <c r="D30" s="194"/>
      <c r="E30" s="194"/>
      <c r="F30" s="194"/>
      <c r="G30" s="195"/>
      <c r="H30" s="195"/>
      <c r="I30" s="181"/>
      <c r="M30" s="3"/>
    </row>
    <row r="31" spans="1:14" ht="17.25" customHeight="1" x14ac:dyDescent="0.25">
      <c r="A31" s="155">
        <v>43984</v>
      </c>
      <c r="B31" s="115" t="s">
        <v>2721</v>
      </c>
      <c r="C31" s="115" t="s">
        <v>2722</v>
      </c>
      <c r="D31" s="140" t="s">
        <v>2630</v>
      </c>
      <c r="E31" s="140" t="s">
        <v>2551</v>
      </c>
      <c r="F31" s="140" t="s">
        <v>2723</v>
      </c>
      <c r="G31" s="180">
        <v>1493550</v>
      </c>
      <c r="H31" s="180">
        <v>149355</v>
      </c>
      <c r="I31" s="181"/>
      <c r="M31" s="3"/>
    </row>
    <row r="32" spans="1:14" ht="17.25" customHeight="1" x14ac:dyDescent="0.25">
      <c r="A32" s="155">
        <v>43984</v>
      </c>
      <c r="B32" s="115" t="s">
        <v>2724</v>
      </c>
      <c r="C32" s="115" t="s">
        <v>2725</v>
      </c>
      <c r="D32" s="140" t="s">
        <v>2630</v>
      </c>
      <c r="E32" s="140" t="s">
        <v>2547</v>
      </c>
      <c r="F32" s="140" t="s">
        <v>2723</v>
      </c>
      <c r="G32" s="180">
        <v>681900</v>
      </c>
      <c r="H32" s="180">
        <v>68190</v>
      </c>
      <c r="I32" s="181"/>
      <c r="M32" s="3"/>
    </row>
    <row r="33" spans="1:13" ht="17.25" customHeight="1" x14ac:dyDescent="0.25">
      <c r="A33" s="155">
        <v>43984</v>
      </c>
      <c r="B33" s="115" t="s">
        <v>2726</v>
      </c>
      <c r="C33" s="115" t="s">
        <v>2727</v>
      </c>
      <c r="D33" s="140" t="s">
        <v>2630</v>
      </c>
      <c r="E33" s="140" t="s">
        <v>2543</v>
      </c>
      <c r="F33" s="140" t="s">
        <v>2723</v>
      </c>
      <c r="G33" s="180">
        <v>956400</v>
      </c>
      <c r="H33" s="180">
        <v>95640</v>
      </c>
      <c r="I33" s="181"/>
      <c r="M33" s="3"/>
    </row>
    <row r="34" spans="1:13" ht="17.25" customHeight="1" x14ac:dyDescent="0.25">
      <c r="A34" s="193"/>
      <c r="B34" s="145"/>
      <c r="C34" s="145"/>
      <c r="D34" s="194"/>
      <c r="E34" s="194"/>
      <c r="F34" s="194"/>
      <c r="G34" s="195"/>
      <c r="H34" s="195"/>
      <c r="I34" s="181"/>
      <c r="M34" s="3"/>
    </row>
    <row r="35" spans="1:13" ht="17.25" customHeight="1" x14ac:dyDescent="0.25">
      <c r="A35" s="155">
        <v>44013</v>
      </c>
      <c r="B35" s="115" t="s">
        <v>2728</v>
      </c>
      <c r="C35" s="115" t="s">
        <v>2729</v>
      </c>
      <c r="D35" s="140" t="s">
        <v>2630</v>
      </c>
      <c r="E35" s="140" t="s">
        <v>2547</v>
      </c>
      <c r="F35" s="140" t="s">
        <v>2730</v>
      </c>
      <c r="G35" s="180">
        <v>681900</v>
      </c>
      <c r="H35" s="180">
        <v>68190</v>
      </c>
      <c r="M35" s="3"/>
    </row>
    <row r="36" spans="1:13" ht="17.25" customHeight="1" x14ac:dyDescent="0.25">
      <c r="A36" s="155">
        <v>44013</v>
      </c>
      <c r="B36" s="115" t="s">
        <v>2731</v>
      </c>
      <c r="C36" s="115" t="s">
        <v>2732</v>
      </c>
      <c r="D36" s="140" t="s">
        <v>2630</v>
      </c>
      <c r="E36" s="140" t="s">
        <v>2551</v>
      </c>
      <c r="F36" s="140" t="s">
        <v>2730</v>
      </c>
      <c r="G36" s="180">
        <v>1493550</v>
      </c>
      <c r="H36" s="180">
        <v>149355</v>
      </c>
      <c r="M36" s="3"/>
    </row>
    <row r="37" spans="1:13" ht="17.25" customHeight="1" x14ac:dyDescent="0.25">
      <c r="A37" s="155">
        <v>44013</v>
      </c>
      <c r="B37" s="115" t="s">
        <v>2733</v>
      </c>
      <c r="C37" s="115" t="s">
        <v>2734</v>
      </c>
      <c r="D37" s="140" t="s">
        <v>2630</v>
      </c>
      <c r="E37" s="140" t="s">
        <v>2543</v>
      </c>
      <c r="F37" s="140" t="s">
        <v>2730</v>
      </c>
      <c r="G37" s="180">
        <v>956400</v>
      </c>
      <c r="H37" s="180">
        <v>95640</v>
      </c>
      <c r="M37" s="3"/>
    </row>
    <row r="38" spans="1:13" ht="17.25" customHeight="1" x14ac:dyDescent="0.25">
      <c r="A38" s="88">
        <v>44013</v>
      </c>
      <c r="B38" s="75" t="s">
        <v>2735</v>
      </c>
      <c r="C38" s="75" t="s">
        <v>2736</v>
      </c>
      <c r="D38" s="89" t="s">
        <v>2630</v>
      </c>
      <c r="E38" s="89" t="s">
        <v>2547</v>
      </c>
      <c r="F38" s="89" t="s">
        <v>2737</v>
      </c>
      <c r="G38" s="77">
        <v>681900</v>
      </c>
      <c r="H38" s="77">
        <v>68190</v>
      </c>
      <c r="M38" s="3"/>
    </row>
    <row r="39" spans="1:13" ht="17.25" customHeight="1" x14ac:dyDescent="0.25">
      <c r="A39" s="196"/>
      <c r="B39" s="145"/>
      <c r="C39" s="145"/>
      <c r="D39" s="194"/>
      <c r="E39" s="194"/>
      <c r="F39" s="194"/>
      <c r="G39" s="195"/>
      <c r="H39" s="195"/>
      <c r="M39" s="3"/>
    </row>
    <row r="40" spans="1:13" ht="17.25" customHeight="1" x14ac:dyDescent="0.25">
      <c r="A40" s="94" t="s">
        <v>2738</v>
      </c>
      <c r="B40" s="75" t="s">
        <v>2739</v>
      </c>
      <c r="C40" s="75" t="s">
        <v>2740</v>
      </c>
      <c r="D40" s="89" t="s">
        <v>2579</v>
      </c>
      <c r="E40" s="89" t="s">
        <v>2547</v>
      </c>
      <c r="F40" s="89" t="s">
        <v>2544</v>
      </c>
      <c r="G40" s="77">
        <v>681900</v>
      </c>
      <c r="H40" s="77">
        <v>68190</v>
      </c>
      <c r="M40" s="3"/>
    </row>
    <row r="41" spans="1:13" ht="17.25" customHeight="1" x14ac:dyDescent="0.25">
      <c r="A41" s="94" t="s">
        <v>2738</v>
      </c>
      <c r="B41" s="75" t="s">
        <v>2741</v>
      </c>
      <c r="C41" s="75" t="s">
        <v>2742</v>
      </c>
      <c r="D41" s="89" t="s">
        <v>2579</v>
      </c>
      <c r="E41" s="89" t="s">
        <v>2551</v>
      </c>
      <c r="F41" s="89" t="s">
        <v>2544</v>
      </c>
      <c r="G41" s="77">
        <v>1493550</v>
      </c>
      <c r="H41" s="77">
        <v>149355</v>
      </c>
      <c r="M41" s="3"/>
    </row>
    <row r="42" spans="1:13" ht="17.25" customHeight="1" x14ac:dyDescent="0.25">
      <c r="A42" s="196"/>
      <c r="B42" s="145"/>
      <c r="C42" s="145"/>
      <c r="D42" s="194"/>
      <c r="E42" s="194"/>
      <c r="F42" s="194"/>
      <c r="G42" s="195"/>
      <c r="H42" s="197"/>
      <c r="M42" s="3"/>
    </row>
    <row r="43" spans="1:13" ht="17.25" customHeight="1" x14ac:dyDescent="0.25">
      <c r="A43" s="198"/>
      <c r="B43" s="135"/>
      <c r="C43" s="135"/>
      <c r="D43" s="137"/>
      <c r="E43" s="137"/>
      <c r="F43" s="137"/>
      <c r="G43" s="182"/>
      <c r="H43" s="182"/>
      <c r="M43" s="3"/>
    </row>
    <row r="44" spans="1:13" ht="17.25" customHeight="1" x14ac:dyDescent="0.2">
      <c r="A44" s="1"/>
      <c r="G44" s="3"/>
      <c r="H44" s="3"/>
      <c r="M44" s="3"/>
    </row>
    <row r="45" spans="1:13" ht="17.25" customHeight="1" x14ac:dyDescent="0.2">
      <c r="A45" s="1"/>
      <c r="G45" s="3"/>
      <c r="H45" s="3"/>
      <c r="M45" s="83">
        <f>SUM(M4:M44)</f>
        <v>0</v>
      </c>
    </row>
    <row r="46" spans="1:13" ht="17.25" customHeight="1" x14ac:dyDescent="0.2">
      <c r="A46" s="1"/>
      <c r="G46" s="3"/>
      <c r="H46" s="3"/>
      <c r="M46" s="3"/>
    </row>
    <row r="47" spans="1:13" ht="17.25" customHeight="1" x14ac:dyDescent="0.2">
      <c r="A47" s="1"/>
      <c r="G47" s="3"/>
      <c r="H47" s="3"/>
      <c r="M47" s="3"/>
    </row>
    <row r="48" spans="1:13" ht="17.25" customHeight="1" x14ac:dyDescent="0.2">
      <c r="A48" s="1"/>
      <c r="G48" s="3"/>
      <c r="H48" s="3"/>
      <c r="M48" s="3"/>
    </row>
    <row r="49" spans="1:13" ht="17.25" customHeight="1" x14ac:dyDescent="0.2">
      <c r="A49" s="1"/>
      <c r="G49" s="3"/>
      <c r="H49" s="3"/>
      <c r="M49" s="3"/>
    </row>
    <row r="50" spans="1:13" ht="17.25" customHeight="1" x14ac:dyDescent="0.2">
      <c r="A50" s="1"/>
      <c r="G50" s="3"/>
      <c r="H50" s="3"/>
      <c r="M50" s="3"/>
    </row>
    <row r="51" spans="1:13" ht="17.25" customHeight="1" x14ac:dyDescent="0.2">
      <c r="A51" s="1"/>
      <c r="G51" s="3"/>
      <c r="H51" s="3"/>
      <c r="M51" s="3"/>
    </row>
    <row r="52" spans="1:13" ht="17.25" customHeight="1" x14ac:dyDescent="0.2">
      <c r="A52" s="1"/>
      <c r="G52" s="3"/>
      <c r="H52" s="3"/>
      <c r="M52" s="3"/>
    </row>
    <row r="53" spans="1:13" ht="17.25" customHeight="1" x14ac:dyDescent="0.2">
      <c r="A53" s="1"/>
      <c r="G53" s="3"/>
      <c r="H53" s="3"/>
      <c r="M53" s="3"/>
    </row>
    <row r="54" spans="1:13" ht="17.25" customHeight="1" x14ac:dyDescent="0.2">
      <c r="A54" s="1"/>
      <c r="G54" s="3"/>
      <c r="H54" s="3"/>
      <c r="M54" s="3"/>
    </row>
    <row r="55" spans="1:13" ht="17.25" customHeight="1" x14ac:dyDescent="0.2">
      <c r="A55" s="1"/>
      <c r="G55" s="3"/>
      <c r="H55" s="3"/>
      <c r="M55" s="3"/>
    </row>
    <row r="56" spans="1:13" ht="17.25" customHeight="1" x14ac:dyDescent="0.2">
      <c r="A56" s="1"/>
      <c r="G56" s="3"/>
      <c r="H56" s="3"/>
      <c r="M56" s="3"/>
    </row>
    <row r="57" spans="1:13" ht="17.25" customHeight="1" x14ac:dyDescent="0.2">
      <c r="A57" s="1"/>
      <c r="G57" s="3"/>
      <c r="H57" s="3"/>
      <c r="M57" s="3"/>
    </row>
    <row r="58" spans="1:13" ht="17.25" customHeight="1" x14ac:dyDescent="0.2">
      <c r="A58" s="1"/>
      <c r="G58" s="3"/>
      <c r="H58" s="3"/>
      <c r="M58" s="3"/>
    </row>
    <row r="59" spans="1:13" ht="17.25" customHeight="1" x14ac:dyDescent="0.2">
      <c r="A59" s="1"/>
      <c r="G59" s="3"/>
      <c r="H59" s="3"/>
      <c r="M59" s="83"/>
    </row>
    <row r="60" spans="1:13" ht="17.25" customHeight="1" x14ac:dyDescent="0.2">
      <c r="A60" s="1"/>
      <c r="G60" s="3"/>
      <c r="H60" s="3"/>
      <c r="M60" s="8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M7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4.5" style="147" bestFit="1" customWidth="1"/>
    <col min="2" max="2" width="16" bestFit="1" customWidth="1"/>
    <col min="3" max="3" width="21.5" bestFit="1" customWidth="1"/>
    <col min="4" max="6" width="12.5" bestFit="1" customWidth="1"/>
    <col min="7" max="7" width="16.5" style="128" bestFit="1" customWidth="1"/>
    <col min="8" max="8" width="16.33203125" style="128" bestFit="1" customWidth="1"/>
    <col min="9" max="9" width="14" bestFit="1" customWidth="1"/>
    <col min="10" max="10" width="13.5" bestFit="1" customWidth="1"/>
    <col min="11" max="11" width="20.83203125" bestFit="1" customWidth="1"/>
    <col min="12" max="12" width="11.1640625" bestFit="1" customWidth="1"/>
    <col min="13" max="13" width="15.5" style="80" bestFit="1" customWidth="1"/>
  </cols>
  <sheetData>
    <row r="1" spans="1:13" ht="17.25" customHeight="1" x14ac:dyDescent="0.2">
      <c r="A1" s="83">
        <v>2021</v>
      </c>
      <c r="G1" s="3"/>
      <c r="H1" s="3"/>
      <c r="M1" s="3"/>
    </row>
    <row r="2" spans="1:13" ht="17.25" customHeight="1" x14ac:dyDescent="0.2">
      <c r="A2" s="1"/>
      <c r="G2" s="3"/>
      <c r="H2" s="3"/>
      <c r="M2" s="3"/>
    </row>
    <row r="3" spans="1:13" ht="17.25" customHeight="1" x14ac:dyDescent="0.25">
      <c r="A3" s="129" t="s">
        <v>0</v>
      </c>
      <c r="B3" s="130" t="s">
        <v>1</v>
      </c>
      <c r="C3" s="130" t="s">
        <v>2</v>
      </c>
      <c r="D3" s="130" t="s">
        <v>3</v>
      </c>
      <c r="E3" s="130" t="s">
        <v>4</v>
      </c>
      <c r="F3" s="130" t="s">
        <v>5</v>
      </c>
      <c r="G3" s="131" t="s">
        <v>6</v>
      </c>
      <c r="H3" s="131" t="s">
        <v>7</v>
      </c>
      <c r="I3" s="132" t="s">
        <v>8</v>
      </c>
      <c r="J3" s="132" t="s">
        <v>9</v>
      </c>
      <c r="K3" s="132" t="s">
        <v>10</v>
      </c>
      <c r="L3" s="132" t="s">
        <v>11</v>
      </c>
      <c r="M3" s="148" t="s">
        <v>12</v>
      </c>
    </row>
    <row r="4" spans="1:13" ht="17.25" customHeight="1" x14ac:dyDescent="0.25">
      <c r="A4" s="114">
        <v>44202</v>
      </c>
      <c r="B4" s="115" t="s">
        <v>2540</v>
      </c>
      <c r="C4" s="115" t="s">
        <v>2541</v>
      </c>
      <c r="D4" s="116" t="s">
        <v>2542</v>
      </c>
      <c r="E4" s="116" t="s">
        <v>2543</v>
      </c>
      <c r="F4" s="116" t="s">
        <v>2544</v>
      </c>
      <c r="G4" s="61">
        <v>956400</v>
      </c>
      <c r="H4" s="61">
        <v>95640</v>
      </c>
      <c r="M4" s="3"/>
    </row>
    <row r="5" spans="1:13" ht="17.25" customHeight="1" x14ac:dyDescent="0.25">
      <c r="A5" s="134"/>
      <c r="B5" s="135"/>
      <c r="C5" s="135"/>
      <c r="D5" s="136"/>
      <c r="E5" s="136"/>
      <c r="F5" s="136"/>
      <c r="G5" s="138"/>
      <c r="H5" s="138"/>
      <c r="M5" s="3"/>
    </row>
    <row r="6" spans="1:13" ht="17.25" customHeight="1" x14ac:dyDescent="0.25">
      <c r="A6" s="139">
        <v>44223</v>
      </c>
      <c r="B6" s="115" t="s">
        <v>2545</v>
      </c>
      <c r="C6" s="115" t="s">
        <v>2546</v>
      </c>
      <c r="D6" s="116" t="s">
        <v>2542</v>
      </c>
      <c r="E6" s="116" t="s">
        <v>2547</v>
      </c>
      <c r="F6" s="116" t="s">
        <v>2548</v>
      </c>
      <c r="G6" s="61">
        <v>681900</v>
      </c>
      <c r="H6" s="61">
        <v>68190</v>
      </c>
      <c r="M6" s="3"/>
    </row>
    <row r="7" spans="1:13" ht="17.25" customHeight="1" x14ac:dyDescent="0.25">
      <c r="A7" s="139">
        <v>44223</v>
      </c>
      <c r="B7" s="115" t="s">
        <v>2549</v>
      </c>
      <c r="C7" s="115" t="s">
        <v>2550</v>
      </c>
      <c r="D7" s="116" t="s">
        <v>2542</v>
      </c>
      <c r="E7" s="116" t="s">
        <v>2551</v>
      </c>
      <c r="F7" s="116" t="s">
        <v>2548</v>
      </c>
      <c r="G7" s="61">
        <v>1493550</v>
      </c>
      <c r="H7" s="61">
        <v>149355</v>
      </c>
      <c r="M7" s="3"/>
    </row>
    <row r="8" spans="1:13" ht="17.25" customHeight="1" x14ac:dyDescent="0.25">
      <c r="A8" s="139">
        <v>44223</v>
      </c>
      <c r="B8" s="115" t="s">
        <v>2552</v>
      </c>
      <c r="C8" s="115" t="s">
        <v>2553</v>
      </c>
      <c r="D8" s="116" t="s">
        <v>2542</v>
      </c>
      <c r="E8" s="116" t="s">
        <v>2554</v>
      </c>
      <c r="F8" s="116" t="s">
        <v>2548</v>
      </c>
      <c r="G8" s="61">
        <v>956400</v>
      </c>
      <c r="H8" s="61">
        <v>95640</v>
      </c>
      <c r="M8" s="3"/>
    </row>
    <row r="9" spans="1:13" ht="17.25" customHeight="1" x14ac:dyDescent="0.25">
      <c r="A9" s="141"/>
      <c r="B9" s="135"/>
      <c r="C9" s="135"/>
      <c r="D9" s="136"/>
      <c r="E9" s="136"/>
      <c r="F9" s="136"/>
      <c r="G9" s="138"/>
      <c r="H9" s="138"/>
      <c r="M9" s="3"/>
    </row>
    <row r="10" spans="1:13" ht="17.25" customHeight="1" x14ac:dyDescent="0.25">
      <c r="A10" s="139">
        <v>44228</v>
      </c>
      <c r="B10" s="115" t="s">
        <v>2555</v>
      </c>
      <c r="C10" s="115" t="s">
        <v>2556</v>
      </c>
      <c r="D10" s="116" t="s">
        <v>2542</v>
      </c>
      <c r="E10" s="116" t="s">
        <v>2547</v>
      </c>
      <c r="F10" s="116" t="s">
        <v>2557</v>
      </c>
      <c r="G10" s="61">
        <v>681900</v>
      </c>
      <c r="H10" s="61">
        <v>68190</v>
      </c>
      <c r="M10" s="3"/>
    </row>
    <row r="11" spans="1:13" ht="17.25" customHeight="1" x14ac:dyDescent="0.25">
      <c r="A11" s="139">
        <v>44228</v>
      </c>
      <c r="B11" s="115" t="s">
        <v>2558</v>
      </c>
      <c r="C11" s="115" t="s">
        <v>2559</v>
      </c>
      <c r="D11" s="116" t="s">
        <v>2542</v>
      </c>
      <c r="E11" s="116" t="s">
        <v>2551</v>
      </c>
      <c r="F11" s="116" t="s">
        <v>2557</v>
      </c>
      <c r="G11" s="61">
        <v>1493550</v>
      </c>
      <c r="H11" s="61">
        <v>149355</v>
      </c>
      <c r="M11" s="3"/>
    </row>
    <row r="12" spans="1:13" ht="17.25" customHeight="1" x14ac:dyDescent="0.25">
      <c r="A12" s="141"/>
      <c r="B12" s="135"/>
      <c r="C12" s="135"/>
      <c r="D12" s="149"/>
      <c r="E12" s="149"/>
      <c r="F12" s="149"/>
      <c r="G12" s="150"/>
      <c r="H12" s="150"/>
      <c r="M12" s="3"/>
    </row>
    <row r="13" spans="1:13" ht="17.25" customHeight="1" x14ac:dyDescent="0.25">
      <c r="A13" s="139">
        <v>44253</v>
      </c>
      <c r="B13" s="115" t="s">
        <v>2560</v>
      </c>
      <c r="C13" s="115" t="s">
        <v>2561</v>
      </c>
      <c r="D13" s="116" t="s">
        <v>2542</v>
      </c>
      <c r="E13" s="116" t="s">
        <v>2562</v>
      </c>
      <c r="F13" s="116" t="s">
        <v>2557</v>
      </c>
      <c r="G13" s="61">
        <v>956400</v>
      </c>
      <c r="H13" s="61">
        <v>95640</v>
      </c>
      <c r="M13" s="3"/>
    </row>
    <row r="14" spans="1:13" ht="17.25" customHeight="1" x14ac:dyDescent="0.25">
      <c r="A14" s="141"/>
      <c r="B14" s="151"/>
      <c r="C14" s="151"/>
      <c r="D14" s="152"/>
      <c r="E14" s="152"/>
      <c r="F14" s="152"/>
      <c r="G14" s="153"/>
      <c r="H14" s="153"/>
      <c r="M14" s="3"/>
    </row>
    <row r="15" spans="1:13" ht="17.25" customHeight="1" x14ac:dyDescent="0.25">
      <c r="A15" s="139">
        <v>44256</v>
      </c>
      <c r="B15" s="115" t="s">
        <v>2563</v>
      </c>
      <c r="C15" s="115" t="s">
        <v>2564</v>
      </c>
      <c r="D15" s="116" t="s">
        <v>2542</v>
      </c>
      <c r="E15" s="116" t="s">
        <v>2547</v>
      </c>
      <c r="F15" s="116" t="s">
        <v>2565</v>
      </c>
      <c r="G15" s="61">
        <v>681900</v>
      </c>
      <c r="H15" s="61">
        <v>68190</v>
      </c>
      <c r="M15" s="3"/>
    </row>
    <row r="16" spans="1:13" ht="17.25" customHeight="1" x14ac:dyDescent="0.25">
      <c r="A16" s="139">
        <v>44256</v>
      </c>
      <c r="B16" s="115" t="s">
        <v>2566</v>
      </c>
      <c r="C16" s="115" t="s">
        <v>2567</v>
      </c>
      <c r="D16" s="116" t="s">
        <v>2542</v>
      </c>
      <c r="E16" s="116" t="s">
        <v>2551</v>
      </c>
      <c r="F16" s="116" t="s">
        <v>2565</v>
      </c>
      <c r="G16" s="61">
        <v>1493550</v>
      </c>
      <c r="H16" s="61">
        <v>149355</v>
      </c>
      <c r="M16" s="3"/>
    </row>
    <row r="17" spans="1:13" ht="17.25" customHeight="1" x14ac:dyDescent="0.25">
      <c r="A17" s="139">
        <v>44256</v>
      </c>
      <c r="B17" s="115" t="s">
        <v>2568</v>
      </c>
      <c r="C17" s="115" t="s">
        <v>2569</v>
      </c>
      <c r="D17" s="116" t="s">
        <v>2542</v>
      </c>
      <c r="E17" s="116" t="s">
        <v>2562</v>
      </c>
      <c r="F17" s="116" t="s">
        <v>2565</v>
      </c>
      <c r="G17" s="61">
        <v>956400</v>
      </c>
      <c r="H17" s="61">
        <v>95640</v>
      </c>
      <c r="M17" s="3"/>
    </row>
    <row r="18" spans="1:13" ht="17.25" customHeight="1" x14ac:dyDescent="0.25">
      <c r="A18" s="139">
        <v>44256</v>
      </c>
      <c r="B18" s="115" t="s">
        <v>2570</v>
      </c>
      <c r="C18" s="115" t="s">
        <v>2571</v>
      </c>
      <c r="D18" s="116" t="s">
        <v>2542</v>
      </c>
      <c r="E18" s="116" t="s">
        <v>2547</v>
      </c>
      <c r="F18" s="116" t="s">
        <v>2572</v>
      </c>
      <c r="G18" s="61">
        <v>681900</v>
      </c>
      <c r="H18" s="61">
        <v>68190</v>
      </c>
      <c r="M18" s="3"/>
    </row>
    <row r="19" spans="1:13" ht="17.25" customHeight="1" x14ac:dyDescent="0.25">
      <c r="A19" s="139">
        <v>44256</v>
      </c>
      <c r="B19" s="115" t="s">
        <v>2573</v>
      </c>
      <c r="C19" s="115" t="s">
        <v>2574</v>
      </c>
      <c r="D19" s="116" t="s">
        <v>2542</v>
      </c>
      <c r="E19" s="116" t="s">
        <v>2551</v>
      </c>
      <c r="F19" s="116" t="s">
        <v>2572</v>
      </c>
      <c r="G19" s="61">
        <v>1493550</v>
      </c>
      <c r="H19" s="61">
        <v>149355</v>
      </c>
      <c r="M19" s="3"/>
    </row>
    <row r="20" spans="1:13" ht="17.25" customHeight="1" x14ac:dyDescent="0.25">
      <c r="A20" s="154"/>
      <c r="B20" s="56"/>
      <c r="C20" s="145"/>
      <c r="D20" s="56"/>
      <c r="E20" s="56"/>
      <c r="F20" s="56"/>
      <c r="G20" s="57"/>
      <c r="H20" s="57"/>
      <c r="M20" s="3"/>
    </row>
    <row r="21" spans="1:13" ht="17.25" customHeight="1" x14ac:dyDescent="0.25">
      <c r="A21" s="139">
        <v>44287</v>
      </c>
      <c r="B21" s="115" t="s">
        <v>2575</v>
      </c>
      <c r="C21" s="115" t="s">
        <v>2576</v>
      </c>
      <c r="D21" s="116" t="s">
        <v>2542</v>
      </c>
      <c r="E21" s="116" t="s">
        <v>2562</v>
      </c>
      <c r="F21" s="116" t="s">
        <v>2572</v>
      </c>
      <c r="G21" s="61">
        <v>956400</v>
      </c>
      <c r="H21" s="61">
        <v>95640</v>
      </c>
      <c r="M21" s="3"/>
    </row>
    <row r="22" spans="1:13" ht="17.25" customHeight="1" x14ac:dyDescent="0.25">
      <c r="A22" s="155">
        <v>44319</v>
      </c>
      <c r="B22" s="156" t="s">
        <v>2577</v>
      </c>
      <c r="C22" s="115" t="s">
        <v>2578</v>
      </c>
      <c r="D22" s="116" t="s">
        <v>2579</v>
      </c>
      <c r="E22" s="116" t="s">
        <v>2547</v>
      </c>
      <c r="F22" s="116" t="s">
        <v>2580</v>
      </c>
      <c r="G22" s="61">
        <v>681900</v>
      </c>
      <c r="H22" s="61">
        <v>68190</v>
      </c>
      <c r="M22" s="3"/>
    </row>
    <row r="23" spans="1:13" ht="17.25" customHeight="1" x14ac:dyDescent="0.25">
      <c r="A23" s="155">
        <v>44319</v>
      </c>
      <c r="B23" s="156" t="s">
        <v>2581</v>
      </c>
      <c r="C23" s="115" t="s">
        <v>2582</v>
      </c>
      <c r="D23" s="116" t="s">
        <v>2579</v>
      </c>
      <c r="E23" s="116" t="s">
        <v>2551</v>
      </c>
      <c r="F23" s="116" t="s">
        <v>2580</v>
      </c>
      <c r="G23" s="61">
        <v>1493550</v>
      </c>
      <c r="H23" s="61">
        <v>149355</v>
      </c>
      <c r="M23" s="3"/>
    </row>
    <row r="24" spans="1:13" ht="17.25" customHeight="1" x14ac:dyDescent="0.25">
      <c r="A24" s="155">
        <v>44319</v>
      </c>
      <c r="B24" s="156" t="s">
        <v>2583</v>
      </c>
      <c r="C24" s="115" t="s">
        <v>2584</v>
      </c>
      <c r="D24" s="116" t="s">
        <v>2579</v>
      </c>
      <c r="E24" s="116" t="s">
        <v>2554</v>
      </c>
      <c r="F24" s="116" t="s">
        <v>2580</v>
      </c>
      <c r="G24" s="61">
        <v>956400</v>
      </c>
      <c r="H24" s="61">
        <v>95640</v>
      </c>
      <c r="M24" s="3"/>
    </row>
    <row r="25" spans="1:13" ht="17.25" customHeight="1" x14ac:dyDescent="0.25">
      <c r="A25" s="139">
        <v>44352</v>
      </c>
      <c r="B25" s="115" t="s">
        <v>2585</v>
      </c>
      <c r="C25" s="115" t="s">
        <v>2586</v>
      </c>
      <c r="D25" s="116" t="s">
        <v>2542</v>
      </c>
      <c r="E25" s="116" t="s">
        <v>2547</v>
      </c>
      <c r="F25" s="116" t="s">
        <v>2587</v>
      </c>
      <c r="G25" s="61">
        <v>681900</v>
      </c>
      <c r="H25" s="61">
        <v>68190</v>
      </c>
      <c r="M25" s="3"/>
    </row>
    <row r="26" spans="1:13" ht="17.25" customHeight="1" x14ac:dyDescent="0.25">
      <c r="A26" s="84">
        <v>44372</v>
      </c>
      <c r="B26" s="75" t="s">
        <v>2588</v>
      </c>
      <c r="C26" s="75" t="s">
        <v>2589</v>
      </c>
      <c r="D26" s="42" t="s">
        <v>2542</v>
      </c>
      <c r="E26" s="42" t="s">
        <v>2551</v>
      </c>
      <c r="F26" s="42" t="s">
        <v>2587</v>
      </c>
      <c r="G26" s="43">
        <v>1493550</v>
      </c>
      <c r="H26" s="43">
        <v>149355</v>
      </c>
      <c r="M26" s="3"/>
    </row>
    <row r="27" spans="1:13" ht="17.25" customHeight="1" x14ac:dyDescent="0.25">
      <c r="A27" s="84">
        <v>44372</v>
      </c>
      <c r="B27" s="75" t="s">
        <v>2590</v>
      </c>
      <c r="C27" s="75" t="s">
        <v>2591</v>
      </c>
      <c r="D27" s="42" t="s">
        <v>2542</v>
      </c>
      <c r="E27" s="42" t="s">
        <v>2543</v>
      </c>
      <c r="F27" s="42" t="s">
        <v>2587</v>
      </c>
      <c r="G27" s="43">
        <v>956400</v>
      </c>
      <c r="H27" s="43">
        <v>95640</v>
      </c>
      <c r="M27" s="3"/>
    </row>
    <row r="28" spans="1:13" ht="17.25" customHeight="1" x14ac:dyDescent="0.25">
      <c r="A28" s="144"/>
      <c r="B28" s="145"/>
      <c r="C28" s="145"/>
      <c r="D28" s="56"/>
      <c r="E28" s="56"/>
      <c r="F28" s="56"/>
      <c r="G28" s="57"/>
      <c r="H28" s="57"/>
      <c r="M28" s="3"/>
    </row>
    <row r="29" spans="1:13" ht="17.25" customHeight="1" x14ac:dyDescent="0.25">
      <c r="A29" s="84">
        <v>44386</v>
      </c>
      <c r="B29" s="40" t="s">
        <v>2592</v>
      </c>
      <c r="C29" s="40" t="s">
        <v>2593</v>
      </c>
      <c r="D29" s="42" t="s">
        <v>1845</v>
      </c>
      <c r="E29" s="42" t="s">
        <v>2490</v>
      </c>
      <c r="F29" s="42" t="s">
        <v>2594</v>
      </c>
      <c r="G29" s="43"/>
      <c r="H29" s="43">
        <v>314650</v>
      </c>
      <c r="I29" s="85"/>
      <c r="J29" s="87"/>
      <c r="K29" s="87"/>
      <c r="L29" s="87"/>
      <c r="M29" s="86"/>
    </row>
    <row r="30" spans="1:13" ht="17.25" customHeight="1" x14ac:dyDescent="0.25">
      <c r="A30" s="84">
        <v>44386</v>
      </c>
      <c r="B30" s="40" t="s">
        <v>2595</v>
      </c>
      <c r="C30" s="40" t="s">
        <v>2596</v>
      </c>
      <c r="D30" s="42" t="s">
        <v>1845</v>
      </c>
      <c r="E30" s="42" t="s">
        <v>2490</v>
      </c>
      <c r="F30" s="42" t="s">
        <v>2580</v>
      </c>
      <c r="G30" s="43"/>
      <c r="H30" s="43">
        <v>325500</v>
      </c>
      <c r="I30" s="42"/>
      <c r="J30" s="87"/>
      <c r="K30" s="87"/>
      <c r="L30" s="87"/>
      <c r="M30" s="86"/>
    </row>
    <row r="31" spans="1:13" ht="17.25" customHeight="1" x14ac:dyDescent="0.25">
      <c r="A31" s="84">
        <v>44386</v>
      </c>
      <c r="B31" s="40" t="s">
        <v>2597</v>
      </c>
      <c r="C31" s="40" t="s">
        <v>2598</v>
      </c>
      <c r="D31" s="42" t="s">
        <v>1845</v>
      </c>
      <c r="E31" s="42" t="s">
        <v>2490</v>
      </c>
      <c r="F31" s="42" t="s">
        <v>2587</v>
      </c>
      <c r="G31" s="43"/>
      <c r="H31" s="43">
        <v>325500</v>
      </c>
      <c r="I31" s="87"/>
      <c r="J31" s="87"/>
      <c r="K31" s="87"/>
      <c r="L31" s="87"/>
      <c r="M31" s="86"/>
    </row>
    <row r="32" spans="1:13" ht="17.25" customHeight="1" x14ac:dyDescent="0.25">
      <c r="A32" s="144"/>
      <c r="B32" s="54"/>
      <c r="C32" s="54"/>
      <c r="D32" s="56"/>
      <c r="E32" s="56"/>
      <c r="F32" s="56"/>
      <c r="G32" s="57"/>
      <c r="H32" s="57"/>
      <c r="M32" s="3"/>
    </row>
    <row r="33" spans="1:13" ht="17.25" customHeight="1" x14ac:dyDescent="0.25">
      <c r="A33" s="84"/>
      <c r="B33" s="42"/>
      <c r="C33" s="42"/>
      <c r="D33" s="42"/>
      <c r="E33" s="42"/>
      <c r="F33" s="42"/>
      <c r="G33" s="43"/>
      <c r="H33" s="43"/>
      <c r="I33" s="87"/>
      <c r="J33" s="87"/>
      <c r="K33" s="87"/>
      <c r="L33" s="87"/>
      <c r="M33" s="86"/>
    </row>
    <row r="34" spans="1:13" ht="17.25" customHeight="1" x14ac:dyDescent="0.25">
      <c r="A34" s="84">
        <v>44403</v>
      </c>
      <c r="B34" s="42" t="s">
        <v>2599</v>
      </c>
      <c r="C34" s="42" t="s">
        <v>2600</v>
      </c>
      <c r="D34" s="42" t="s">
        <v>1862</v>
      </c>
      <c r="E34" s="42" t="s">
        <v>2601</v>
      </c>
      <c r="F34" s="42" t="s">
        <v>2602</v>
      </c>
      <c r="G34" s="43">
        <v>255200</v>
      </c>
      <c r="H34" s="43">
        <v>25520</v>
      </c>
      <c r="I34" s="87"/>
      <c r="J34" s="87"/>
      <c r="K34" s="87"/>
      <c r="L34" s="87"/>
      <c r="M34" s="86"/>
    </row>
    <row r="35" spans="1:13" ht="17.25" customHeight="1" x14ac:dyDescent="0.25">
      <c r="A35" s="84">
        <v>44403</v>
      </c>
      <c r="B35" s="42" t="s">
        <v>2603</v>
      </c>
      <c r="C35" s="42" t="s">
        <v>2604</v>
      </c>
      <c r="D35" s="42" t="s">
        <v>1862</v>
      </c>
      <c r="E35" s="42" t="s">
        <v>2605</v>
      </c>
      <c r="F35" s="42" t="s">
        <v>2606</v>
      </c>
      <c r="G35" s="43">
        <v>463173</v>
      </c>
      <c r="H35" s="43">
        <v>46317</v>
      </c>
      <c r="I35" s="87"/>
      <c r="J35" s="87"/>
      <c r="K35" s="87"/>
      <c r="L35" s="87"/>
      <c r="M35" s="86"/>
    </row>
    <row r="36" spans="1:13" ht="17.25" customHeight="1" x14ac:dyDescent="0.25">
      <c r="A36" s="84">
        <v>44403</v>
      </c>
      <c r="B36" s="42" t="s">
        <v>2607</v>
      </c>
      <c r="C36" s="42" t="s">
        <v>2608</v>
      </c>
      <c r="D36" s="42" t="s">
        <v>1862</v>
      </c>
      <c r="E36" s="42" t="s">
        <v>2605</v>
      </c>
      <c r="F36" s="42" t="s">
        <v>2609</v>
      </c>
      <c r="G36" s="43">
        <v>331200</v>
      </c>
      <c r="H36" s="43">
        <v>33120</v>
      </c>
      <c r="I36" s="87"/>
      <c r="J36" s="87"/>
      <c r="K36" s="87"/>
      <c r="L36" s="87"/>
      <c r="M36" s="86"/>
    </row>
    <row r="37" spans="1:13" ht="17.25" customHeight="1" x14ac:dyDescent="0.25">
      <c r="A37" s="84">
        <v>44403</v>
      </c>
      <c r="B37" s="42" t="s">
        <v>2610</v>
      </c>
      <c r="C37" s="42" t="s">
        <v>2611</v>
      </c>
      <c r="D37" s="42" t="s">
        <v>1862</v>
      </c>
      <c r="E37" s="42" t="s">
        <v>2612</v>
      </c>
      <c r="F37" s="42" t="s">
        <v>2613</v>
      </c>
      <c r="G37" s="43">
        <v>499733</v>
      </c>
      <c r="H37" s="43">
        <v>49973</v>
      </c>
      <c r="I37" s="87"/>
      <c r="J37" s="87"/>
      <c r="K37" s="87"/>
      <c r="L37" s="87"/>
      <c r="M37" s="86"/>
    </row>
    <row r="38" spans="1:13" ht="17.25" customHeight="1" x14ac:dyDescent="0.25">
      <c r="A38" s="84">
        <v>44403</v>
      </c>
      <c r="B38" s="42" t="s">
        <v>2614</v>
      </c>
      <c r="C38" s="42" t="s">
        <v>2615</v>
      </c>
      <c r="D38" s="42" t="s">
        <v>1862</v>
      </c>
      <c r="E38" s="42" t="s">
        <v>2612</v>
      </c>
      <c r="F38" s="42" t="s">
        <v>2616</v>
      </c>
      <c r="G38" s="43">
        <v>360000</v>
      </c>
      <c r="H38" s="43">
        <v>36000</v>
      </c>
      <c r="I38" s="87"/>
      <c r="J38" s="87"/>
      <c r="K38" s="87"/>
      <c r="L38" s="87"/>
      <c r="M38" s="86"/>
    </row>
    <row r="39" spans="1:13" ht="17.25" customHeight="1" x14ac:dyDescent="0.25">
      <c r="A39" s="84">
        <v>44403</v>
      </c>
      <c r="B39" s="42" t="s">
        <v>2617</v>
      </c>
      <c r="C39" s="42" t="s">
        <v>2618</v>
      </c>
      <c r="D39" s="42" t="s">
        <v>1862</v>
      </c>
      <c r="E39" s="42" t="s">
        <v>2612</v>
      </c>
      <c r="F39" s="42" t="s">
        <v>2619</v>
      </c>
      <c r="G39" s="43">
        <v>360000</v>
      </c>
      <c r="H39" s="43">
        <v>36000</v>
      </c>
      <c r="I39" s="87"/>
      <c r="J39" s="87"/>
      <c r="K39" s="87"/>
      <c r="L39" s="87"/>
      <c r="M39" s="86"/>
    </row>
    <row r="40" spans="1:13" ht="17.25" customHeight="1" x14ac:dyDescent="0.25">
      <c r="A40" s="157"/>
      <c r="B40" s="158"/>
      <c r="C40" s="158"/>
      <c r="D40" s="159"/>
      <c r="E40" s="159"/>
      <c r="F40" s="159"/>
      <c r="G40" s="160"/>
      <c r="H40" s="160"/>
      <c r="M40" s="3"/>
    </row>
    <row r="41" spans="1:13" ht="17.25" customHeight="1" x14ac:dyDescent="0.25">
      <c r="A41" s="139">
        <v>44406</v>
      </c>
      <c r="B41" s="115" t="s">
        <v>2620</v>
      </c>
      <c r="C41" s="115" t="s">
        <v>2621</v>
      </c>
      <c r="D41" s="116" t="s">
        <v>2542</v>
      </c>
      <c r="E41" s="116" t="s">
        <v>2547</v>
      </c>
      <c r="F41" s="116" t="s">
        <v>2622</v>
      </c>
      <c r="G41" s="61">
        <v>681900</v>
      </c>
      <c r="H41" s="61">
        <v>68190</v>
      </c>
      <c r="M41" s="3"/>
    </row>
    <row r="42" spans="1:13" ht="17.25" customHeight="1" x14ac:dyDescent="0.25">
      <c r="A42" s="139">
        <v>44406</v>
      </c>
      <c r="B42" s="115" t="s">
        <v>2623</v>
      </c>
      <c r="C42" s="115" t="s">
        <v>2624</v>
      </c>
      <c r="D42" s="116" t="s">
        <v>2542</v>
      </c>
      <c r="E42" s="116" t="s">
        <v>2625</v>
      </c>
      <c r="F42" s="116" t="s">
        <v>2622</v>
      </c>
      <c r="G42" s="61">
        <v>1493550</v>
      </c>
      <c r="H42" s="61">
        <v>149355</v>
      </c>
      <c r="M42" s="3"/>
    </row>
    <row r="43" spans="1:13" ht="17.25" customHeight="1" x14ac:dyDescent="0.25">
      <c r="A43" s="139">
        <v>44406</v>
      </c>
      <c r="B43" s="115" t="s">
        <v>2626</v>
      </c>
      <c r="C43" s="115" t="s">
        <v>2627</v>
      </c>
      <c r="D43" s="116" t="s">
        <v>2542</v>
      </c>
      <c r="E43" s="116" t="s">
        <v>2543</v>
      </c>
      <c r="F43" s="116" t="s">
        <v>2622</v>
      </c>
      <c r="G43" s="61">
        <v>956400</v>
      </c>
      <c r="H43" s="61">
        <v>95640</v>
      </c>
      <c r="M43" s="3"/>
    </row>
    <row r="44" spans="1:13" ht="17.25" customHeight="1" x14ac:dyDescent="0.25">
      <c r="A44" s="141"/>
      <c r="B44" s="135"/>
      <c r="C44" s="135"/>
      <c r="D44" s="136"/>
      <c r="E44" s="136"/>
      <c r="F44" s="136"/>
      <c r="G44" s="138"/>
      <c r="H44" s="138"/>
      <c r="M44" s="3"/>
    </row>
    <row r="45" spans="1:13" ht="17.25" customHeight="1" x14ac:dyDescent="0.25">
      <c r="A45" s="139">
        <v>44410</v>
      </c>
      <c r="B45" s="115" t="s">
        <v>2628</v>
      </c>
      <c r="C45" s="115" t="s">
        <v>2629</v>
      </c>
      <c r="D45" s="116" t="s">
        <v>2630</v>
      </c>
      <c r="E45" s="116" t="s">
        <v>2547</v>
      </c>
      <c r="F45" s="116" t="s">
        <v>2631</v>
      </c>
      <c r="G45" s="61">
        <v>681900</v>
      </c>
      <c r="H45" s="61">
        <v>68190</v>
      </c>
      <c r="M45" s="3"/>
    </row>
    <row r="46" spans="1:13" ht="17.25" customHeight="1" x14ac:dyDescent="0.25">
      <c r="A46" s="142" t="s">
        <v>2632</v>
      </c>
      <c r="B46" s="115" t="s">
        <v>2633</v>
      </c>
      <c r="C46" s="115" t="s">
        <v>2634</v>
      </c>
      <c r="D46" s="116" t="s">
        <v>2630</v>
      </c>
      <c r="E46" s="116" t="s">
        <v>2551</v>
      </c>
      <c r="F46" s="116" t="s">
        <v>2635</v>
      </c>
      <c r="G46" s="61">
        <v>1493550</v>
      </c>
      <c r="H46" s="61">
        <v>149355</v>
      </c>
      <c r="M46" s="3"/>
    </row>
    <row r="47" spans="1:13" ht="17.25" customHeight="1" x14ac:dyDescent="0.25">
      <c r="A47" s="142" t="s">
        <v>2632</v>
      </c>
      <c r="B47" s="115" t="s">
        <v>2636</v>
      </c>
      <c r="C47" s="115" t="s">
        <v>2637</v>
      </c>
      <c r="D47" s="116" t="s">
        <v>2630</v>
      </c>
      <c r="E47" s="116" t="s">
        <v>2543</v>
      </c>
      <c r="F47" s="116" t="s">
        <v>2635</v>
      </c>
      <c r="G47" s="61">
        <v>956400</v>
      </c>
      <c r="H47" s="61">
        <v>95640</v>
      </c>
      <c r="M47" s="3"/>
    </row>
    <row r="48" spans="1:13" ht="17.25" customHeight="1" x14ac:dyDescent="0.25">
      <c r="A48" s="161"/>
      <c r="B48" s="135"/>
      <c r="C48" s="135"/>
      <c r="D48" s="149"/>
      <c r="E48" s="149"/>
      <c r="F48" s="149"/>
      <c r="G48" s="150"/>
      <c r="H48" s="150"/>
      <c r="M48" s="3"/>
    </row>
    <row r="49" spans="1:13" ht="17.25" customHeight="1" x14ac:dyDescent="0.25">
      <c r="A49" s="139">
        <v>44447</v>
      </c>
      <c r="B49" s="115" t="s">
        <v>2638</v>
      </c>
      <c r="C49" s="115" t="s">
        <v>2639</v>
      </c>
      <c r="D49" s="116" t="s">
        <v>1845</v>
      </c>
      <c r="E49" s="116" t="s">
        <v>2490</v>
      </c>
      <c r="F49" s="116" t="s">
        <v>2635</v>
      </c>
      <c r="G49" s="61">
        <v>3255000</v>
      </c>
      <c r="H49" s="61">
        <v>325500</v>
      </c>
      <c r="M49" s="3"/>
    </row>
    <row r="50" spans="1:13" ht="17.25" customHeight="1" x14ac:dyDescent="0.2">
      <c r="A50" s="1"/>
      <c r="G50" s="3"/>
      <c r="H50" s="3"/>
      <c r="M50" s="3"/>
    </row>
    <row r="51" spans="1:13" ht="17.25" customHeight="1" x14ac:dyDescent="0.25">
      <c r="A51" s="11">
        <v>44455</v>
      </c>
      <c r="B51" s="12" t="s">
        <v>2640</v>
      </c>
      <c r="C51" s="12" t="s">
        <v>2641</v>
      </c>
      <c r="D51" s="12" t="s">
        <v>2642</v>
      </c>
      <c r="E51" s="12" t="s">
        <v>2643</v>
      </c>
      <c r="F51" s="12" t="s">
        <v>2644</v>
      </c>
      <c r="G51" s="15">
        <v>48261268</v>
      </c>
      <c r="H51" s="15">
        <v>4826126</v>
      </c>
      <c r="M51" s="3"/>
    </row>
    <row r="52" spans="1:13" ht="17.25" customHeight="1" x14ac:dyDescent="0.25">
      <c r="A52" s="11">
        <v>44455</v>
      </c>
      <c r="B52" s="12" t="s">
        <v>2645</v>
      </c>
      <c r="C52" s="12" t="s">
        <v>2646</v>
      </c>
      <c r="D52" s="12" t="s">
        <v>2642</v>
      </c>
      <c r="E52" s="12" t="s">
        <v>2643</v>
      </c>
      <c r="F52" s="12" t="s">
        <v>2647</v>
      </c>
      <c r="G52" s="15">
        <v>38713028</v>
      </c>
      <c r="H52" s="15">
        <v>3871302</v>
      </c>
      <c r="M52" s="3"/>
    </row>
    <row r="53" spans="1:13" ht="17.25" customHeight="1" x14ac:dyDescent="0.25">
      <c r="A53" s="11">
        <v>44455</v>
      </c>
      <c r="B53" s="12" t="s">
        <v>2648</v>
      </c>
      <c r="C53" s="12" t="s">
        <v>2649</v>
      </c>
      <c r="D53" s="12" t="s">
        <v>2642</v>
      </c>
      <c r="E53" s="12" t="s">
        <v>2643</v>
      </c>
      <c r="F53" s="12" t="s">
        <v>2650</v>
      </c>
      <c r="G53" s="15">
        <v>34592574</v>
      </c>
      <c r="H53" s="15">
        <v>3459257</v>
      </c>
      <c r="M53" s="3"/>
    </row>
    <row r="54" spans="1:13" ht="17.25" customHeight="1" x14ac:dyDescent="0.25">
      <c r="A54" s="11">
        <v>44455</v>
      </c>
      <c r="B54" s="12" t="s">
        <v>2651</v>
      </c>
      <c r="C54" s="12" t="s">
        <v>2652</v>
      </c>
      <c r="D54" s="12" t="s">
        <v>2642</v>
      </c>
      <c r="E54" s="12" t="s">
        <v>2643</v>
      </c>
      <c r="F54" s="12" t="s">
        <v>2653</v>
      </c>
      <c r="G54" s="15">
        <v>30220855</v>
      </c>
      <c r="H54" s="15">
        <v>3022085</v>
      </c>
      <c r="M54" s="3"/>
    </row>
    <row r="55" spans="1:13" ht="17.25" customHeight="1" x14ac:dyDescent="0.25">
      <c r="A55" s="11">
        <v>44455</v>
      </c>
      <c r="B55" s="12" t="s">
        <v>2654</v>
      </c>
      <c r="C55" s="12" t="s">
        <v>2655</v>
      </c>
      <c r="D55" s="12" t="s">
        <v>2642</v>
      </c>
      <c r="E55" s="12" t="s">
        <v>2643</v>
      </c>
      <c r="F55" s="12" t="s">
        <v>2656</v>
      </c>
      <c r="G55" s="15">
        <v>26641807</v>
      </c>
      <c r="H55" s="15">
        <v>2664180</v>
      </c>
      <c r="M55" s="3"/>
    </row>
    <row r="56" spans="1:13" ht="17.25" customHeight="1" x14ac:dyDescent="0.25">
      <c r="A56" s="161"/>
      <c r="B56" s="162"/>
      <c r="C56" s="162"/>
      <c r="D56" s="162"/>
      <c r="E56" s="162"/>
      <c r="F56" s="162"/>
      <c r="G56" s="163"/>
      <c r="H56" s="163"/>
      <c r="M56" s="3"/>
    </row>
    <row r="57" spans="1:13" ht="17.25" customHeight="1" x14ac:dyDescent="0.25">
      <c r="A57" s="164">
        <v>44464</v>
      </c>
      <c r="B57" s="165" t="s">
        <v>2657</v>
      </c>
      <c r="C57" s="165" t="s">
        <v>2658</v>
      </c>
      <c r="D57" s="166" t="s">
        <v>1845</v>
      </c>
      <c r="E57" s="166" t="s">
        <v>2490</v>
      </c>
      <c r="F57" s="166" t="s">
        <v>2659</v>
      </c>
      <c r="G57" s="167">
        <v>3255000</v>
      </c>
      <c r="H57" s="167">
        <v>325500</v>
      </c>
      <c r="M57" s="3"/>
    </row>
    <row r="58" spans="1:13" ht="17.25" customHeight="1" x14ac:dyDescent="0.25">
      <c r="A58" s="161"/>
      <c r="B58" s="151"/>
      <c r="C58" s="151"/>
      <c r="D58" s="162"/>
      <c r="E58" s="162"/>
      <c r="F58" s="162"/>
      <c r="G58" s="163"/>
      <c r="H58" s="163"/>
      <c r="M58" s="3"/>
    </row>
    <row r="59" spans="1:13" ht="17.25" customHeight="1" x14ac:dyDescent="0.25">
      <c r="A59" s="142" t="s">
        <v>2660</v>
      </c>
      <c r="B59" s="116" t="s">
        <v>2661</v>
      </c>
      <c r="C59" s="115" t="s">
        <v>2662</v>
      </c>
      <c r="D59" s="116" t="s">
        <v>2542</v>
      </c>
      <c r="E59" s="116" t="s">
        <v>2547</v>
      </c>
      <c r="F59" s="116" t="s">
        <v>2659</v>
      </c>
      <c r="G59" s="138">
        <v>681900</v>
      </c>
      <c r="H59" s="138">
        <v>68190</v>
      </c>
      <c r="M59" s="3"/>
    </row>
    <row r="60" spans="1:13" ht="17.25" customHeight="1" x14ac:dyDescent="0.25">
      <c r="A60" s="142" t="s">
        <v>2660</v>
      </c>
      <c r="B60" s="116" t="s">
        <v>2663</v>
      </c>
      <c r="C60" s="115" t="s">
        <v>2664</v>
      </c>
      <c r="D60" s="116" t="s">
        <v>2542</v>
      </c>
      <c r="E60" s="116" t="s">
        <v>2551</v>
      </c>
      <c r="F60" s="116" t="s">
        <v>2659</v>
      </c>
      <c r="G60" s="138">
        <v>1493550</v>
      </c>
      <c r="H60" s="138">
        <v>149355</v>
      </c>
      <c r="M60" s="3"/>
    </row>
    <row r="61" spans="1:13" ht="17.25" customHeight="1" x14ac:dyDescent="0.25">
      <c r="A61" s="142" t="s">
        <v>2660</v>
      </c>
      <c r="B61" s="116" t="s">
        <v>2665</v>
      </c>
      <c r="C61" s="115" t="s">
        <v>2666</v>
      </c>
      <c r="D61" s="116" t="s">
        <v>2542</v>
      </c>
      <c r="E61" s="116" t="s">
        <v>2543</v>
      </c>
      <c r="F61" s="116" t="s">
        <v>2659</v>
      </c>
      <c r="G61" s="138">
        <v>956400</v>
      </c>
      <c r="H61" s="138">
        <v>95640</v>
      </c>
      <c r="M61" s="3"/>
    </row>
    <row r="62" spans="1:13" ht="17.25" customHeight="1" x14ac:dyDescent="0.25">
      <c r="A62" s="168"/>
      <c r="B62" s="136"/>
      <c r="C62" s="135"/>
      <c r="D62" s="136"/>
      <c r="E62" s="136"/>
      <c r="F62" s="136"/>
      <c r="G62" s="138"/>
      <c r="H62" s="138"/>
      <c r="M62" s="3"/>
    </row>
    <row r="63" spans="1:13" ht="17.25" customHeight="1" x14ac:dyDescent="0.25">
      <c r="A63" s="155">
        <v>44510</v>
      </c>
      <c r="B63" s="140" t="s">
        <v>2667</v>
      </c>
      <c r="C63" s="115" t="s">
        <v>2668</v>
      </c>
      <c r="D63" s="116" t="s">
        <v>2542</v>
      </c>
      <c r="E63" s="116" t="s">
        <v>2547</v>
      </c>
      <c r="F63" s="116" t="s">
        <v>2669</v>
      </c>
      <c r="G63" s="61">
        <v>681900</v>
      </c>
      <c r="H63" s="61">
        <v>68190</v>
      </c>
      <c r="M63" s="3"/>
    </row>
    <row r="64" spans="1:13" ht="17.25" customHeight="1" x14ac:dyDescent="0.25">
      <c r="A64" s="155">
        <v>44510</v>
      </c>
      <c r="B64" s="140" t="s">
        <v>2670</v>
      </c>
      <c r="C64" s="115" t="s">
        <v>2671</v>
      </c>
      <c r="D64" s="116" t="s">
        <v>2542</v>
      </c>
      <c r="E64" s="116" t="s">
        <v>2551</v>
      </c>
      <c r="F64" s="116" t="s">
        <v>2669</v>
      </c>
      <c r="G64" s="61">
        <v>1493550</v>
      </c>
      <c r="H64" s="61">
        <v>149355</v>
      </c>
      <c r="M64" s="3"/>
    </row>
    <row r="65" spans="1:13" ht="17.25" customHeight="1" x14ac:dyDescent="0.25">
      <c r="A65" s="155">
        <v>44510</v>
      </c>
      <c r="B65" s="140" t="s">
        <v>2672</v>
      </c>
      <c r="C65" s="115" t="s">
        <v>2673</v>
      </c>
      <c r="D65" s="116" t="s">
        <v>2542</v>
      </c>
      <c r="E65" s="116" t="s">
        <v>2543</v>
      </c>
      <c r="F65" s="116" t="s">
        <v>2669</v>
      </c>
      <c r="G65" s="61">
        <v>956400</v>
      </c>
      <c r="H65" s="61">
        <v>95640</v>
      </c>
      <c r="M65" s="3"/>
    </row>
    <row r="66" spans="1:13" ht="17.25" customHeight="1" x14ac:dyDescent="0.25">
      <c r="A66" s="134"/>
      <c r="B66" s="135"/>
      <c r="C66" s="135"/>
      <c r="D66" s="135"/>
      <c r="E66" s="149"/>
      <c r="F66" s="149"/>
      <c r="G66" s="150"/>
      <c r="H66" s="150"/>
      <c r="M66" s="3"/>
    </row>
    <row r="67" spans="1:13" ht="17.25" customHeight="1" x14ac:dyDescent="0.25">
      <c r="A67" s="155">
        <v>44522</v>
      </c>
      <c r="B67" s="140" t="s">
        <v>2674</v>
      </c>
      <c r="C67" s="115" t="s">
        <v>2675</v>
      </c>
      <c r="D67" s="116" t="s">
        <v>1845</v>
      </c>
      <c r="E67" s="116" t="s">
        <v>2490</v>
      </c>
      <c r="F67" s="116" t="s">
        <v>2669</v>
      </c>
      <c r="G67" s="61">
        <v>3255000</v>
      </c>
      <c r="H67" s="61">
        <v>325500</v>
      </c>
      <c r="M67" s="3"/>
    </row>
    <row r="68" spans="1:13" ht="17.25" customHeight="1" x14ac:dyDescent="0.25">
      <c r="A68" s="155">
        <v>44522</v>
      </c>
      <c r="B68" s="140" t="s">
        <v>2676</v>
      </c>
      <c r="C68" s="115" t="s">
        <v>2677</v>
      </c>
      <c r="D68" s="116" t="s">
        <v>1845</v>
      </c>
      <c r="E68" s="116" t="s">
        <v>2490</v>
      </c>
      <c r="F68" s="116" t="s">
        <v>2678</v>
      </c>
      <c r="G68" s="61">
        <v>3255000</v>
      </c>
      <c r="H68" s="61">
        <v>325500</v>
      </c>
      <c r="M68" s="3"/>
    </row>
    <row r="69" spans="1:13" ht="17.25" customHeight="1" x14ac:dyDescent="0.25">
      <c r="A69" s="169"/>
      <c r="B69" s="137"/>
      <c r="C69" s="135"/>
      <c r="D69" s="136"/>
      <c r="E69" s="136"/>
      <c r="F69" s="136"/>
      <c r="G69" s="138"/>
      <c r="H69" s="138"/>
      <c r="M69" s="3"/>
    </row>
    <row r="70" spans="1:13" ht="17.25" customHeight="1" x14ac:dyDescent="0.2">
      <c r="A70" s="1"/>
      <c r="G70" s="3"/>
      <c r="H70" s="3"/>
      <c r="M70" s="3"/>
    </row>
    <row r="71" spans="1:13" ht="17.25" customHeight="1" x14ac:dyDescent="0.2">
      <c r="A71" s="1"/>
      <c r="G71" s="3"/>
      <c r="H71" s="3"/>
      <c r="M71" s="83">
        <f>SUM(M4:M70)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M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3.33203125" style="147" bestFit="1" customWidth="1"/>
    <col min="2" max="2" width="15" bestFit="1" customWidth="1"/>
    <col min="3" max="3" width="20.83203125" bestFit="1" customWidth="1"/>
    <col min="4" max="4" width="13.1640625" bestFit="1" customWidth="1"/>
    <col min="5" max="5" width="12.5" bestFit="1" customWidth="1"/>
    <col min="6" max="6" width="13.6640625" bestFit="1" customWidth="1"/>
    <col min="7" max="7" width="16" style="128" bestFit="1" customWidth="1"/>
    <col min="8" max="8" width="15.33203125" style="128" bestFit="1" customWidth="1"/>
    <col min="9" max="9" width="12.5" style="2" bestFit="1" customWidth="1"/>
    <col min="10" max="10" width="13.83203125" bestFit="1" customWidth="1"/>
    <col min="11" max="11" width="20.33203125" bestFit="1" customWidth="1"/>
    <col min="12" max="12" width="11.1640625" bestFit="1" customWidth="1"/>
    <col min="13" max="13" width="13.1640625" bestFit="1" customWidth="1"/>
  </cols>
  <sheetData>
    <row r="1" spans="1:13" ht="17.25" customHeight="1" x14ac:dyDescent="0.2">
      <c r="A1" s="83">
        <v>2022</v>
      </c>
      <c r="G1" s="3"/>
      <c r="H1" s="3"/>
    </row>
    <row r="2" spans="1:13" ht="17.25" customHeight="1" x14ac:dyDescent="0.2">
      <c r="A2" s="1"/>
      <c r="G2" s="3"/>
      <c r="H2" s="3"/>
    </row>
    <row r="3" spans="1:13" ht="17.25" customHeight="1" x14ac:dyDescent="0.25">
      <c r="A3" s="129" t="s">
        <v>0</v>
      </c>
      <c r="B3" s="130" t="s">
        <v>1</v>
      </c>
      <c r="C3" s="130" t="s">
        <v>2</v>
      </c>
      <c r="D3" s="130" t="s">
        <v>3</v>
      </c>
      <c r="E3" s="130" t="s">
        <v>4</v>
      </c>
      <c r="F3" s="130" t="s">
        <v>5</v>
      </c>
      <c r="G3" s="131" t="s">
        <v>6</v>
      </c>
      <c r="H3" s="131" t="s">
        <v>7</v>
      </c>
      <c r="I3" s="132" t="s">
        <v>8</v>
      </c>
      <c r="J3" s="132" t="s">
        <v>9</v>
      </c>
      <c r="K3" s="132" t="s">
        <v>10</v>
      </c>
      <c r="L3" s="132" t="s">
        <v>11</v>
      </c>
      <c r="M3" s="132" t="s">
        <v>12</v>
      </c>
    </row>
    <row r="4" spans="1:13" ht="17.25" customHeight="1" x14ac:dyDescent="0.2">
      <c r="A4" s="1"/>
      <c r="G4" s="3"/>
      <c r="H4" s="3"/>
    </row>
    <row r="5" spans="1:13" ht="17.25" customHeight="1" x14ac:dyDescent="0.25">
      <c r="A5" s="74">
        <v>44625</v>
      </c>
      <c r="B5" s="75" t="s">
        <v>2488</v>
      </c>
      <c r="C5" s="75" t="s">
        <v>2489</v>
      </c>
      <c r="D5" s="42" t="s">
        <v>1845</v>
      </c>
      <c r="E5" s="42" t="s">
        <v>2490</v>
      </c>
      <c r="F5" s="89" t="s">
        <v>2491</v>
      </c>
      <c r="G5" s="43">
        <v>3255000</v>
      </c>
      <c r="H5" s="43">
        <v>325500</v>
      </c>
      <c r="I5" s="133"/>
    </row>
    <row r="6" spans="1:13" ht="17.25" customHeight="1" x14ac:dyDescent="0.25">
      <c r="A6" s="134"/>
      <c r="B6" s="135"/>
      <c r="C6" s="135"/>
      <c r="D6" s="136"/>
      <c r="E6" s="136"/>
      <c r="F6" s="137"/>
      <c r="G6" s="138"/>
      <c r="H6" s="138"/>
      <c r="I6" s="133"/>
    </row>
    <row r="7" spans="1:13" ht="17.25" customHeight="1" x14ac:dyDescent="0.25">
      <c r="A7" s="139">
        <v>44655</v>
      </c>
      <c r="B7" s="115" t="s">
        <v>2492</v>
      </c>
      <c r="C7" s="115" t="s">
        <v>2493</v>
      </c>
      <c r="D7" s="116" t="s">
        <v>2494</v>
      </c>
      <c r="E7" s="140" t="s">
        <v>2495</v>
      </c>
      <c r="F7" s="140" t="s">
        <v>2496</v>
      </c>
      <c r="G7" s="61">
        <v>1250000</v>
      </c>
      <c r="H7" s="61">
        <f>SUM(G7*11%)</f>
        <v>137500</v>
      </c>
      <c r="I7" s="133"/>
    </row>
    <row r="8" spans="1:13" ht="17.25" customHeight="1" x14ac:dyDescent="0.25">
      <c r="A8" s="141"/>
      <c r="B8" s="135"/>
      <c r="C8" s="135"/>
      <c r="D8" s="136"/>
      <c r="E8" s="137"/>
      <c r="F8" s="137"/>
      <c r="G8" s="138"/>
      <c r="H8" s="138"/>
      <c r="I8" s="133"/>
    </row>
    <row r="9" spans="1:13" ht="17.25" customHeight="1" x14ac:dyDescent="0.25">
      <c r="A9" s="142" t="s">
        <v>2497</v>
      </c>
      <c r="B9" s="115" t="s">
        <v>2498</v>
      </c>
      <c r="C9" s="115" t="s">
        <v>2499</v>
      </c>
      <c r="D9" s="116" t="s">
        <v>1845</v>
      </c>
      <c r="E9" s="116" t="s">
        <v>1846</v>
      </c>
      <c r="F9" s="116" t="s">
        <v>2500</v>
      </c>
      <c r="G9" s="61">
        <v>4040667</v>
      </c>
      <c r="H9" s="61">
        <f>SUM(G9*11%)</f>
        <v>444473.37</v>
      </c>
    </row>
    <row r="10" spans="1:13" ht="17.25" customHeight="1" x14ac:dyDescent="0.25">
      <c r="A10" s="142" t="s">
        <v>2497</v>
      </c>
      <c r="B10" s="115" t="s">
        <v>2501</v>
      </c>
      <c r="C10" s="115" t="s">
        <v>2502</v>
      </c>
      <c r="D10" s="116" t="s">
        <v>1845</v>
      </c>
      <c r="E10" s="116" t="s">
        <v>2490</v>
      </c>
      <c r="F10" s="116" t="s">
        <v>2503</v>
      </c>
      <c r="G10" s="61">
        <v>868000</v>
      </c>
      <c r="H10" s="61">
        <f>SUM(G10*11%)</f>
        <v>95480</v>
      </c>
    </row>
    <row r="11" spans="1:13" ht="17.25" customHeight="1" x14ac:dyDescent="0.25">
      <c r="A11" s="142" t="s">
        <v>2497</v>
      </c>
      <c r="B11" s="115" t="s">
        <v>2504</v>
      </c>
      <c r="C11" s="115" t="s">
        <v>2505</v>
      </c>
      <c r="D11" s="116" t="s">
        <v>1845</v>
      </c>
      <c r="E11" s="116" t="s">
        <v>2490</v>
      </c>
      <c r="F11" s="116" t="s">
        <v>1875</v>
      </c>
      <c r="G11" s="61">
        <v>510000</v>
      </c>
      <c r="H11" s="61">
        <f>SUM(G11*11%)</f>
        <v>56100</v>
      </c>
    </row>
    <row r="12" spans="1:13" ht="17.25" customHeight="1" x14ac:dyDescent="0.25">
      <c r="A12" s="141"/>
      <c r="B12" s="135"/>
      <c r="C12" s="135"/>
      <c r="D12" s="136"/>
      <c r="E12" s="136"/>
      <c r="F12" s="136"/>
      <c r="G12" s="138"/>
      <c r="H12" s="138"/>
    </row>
    <row r="13" spans="1:13" ht="17.25" customHeight="1" x14ac:dyDescent="0.25">
      <c r="A13" s="139">
        <v>44742</v>
      </c>
      <c r="B13" s="115" t="s">
        <v>2506</v>
      </c>
      <c r="C13" s="115" t="s">
        <v>2507</v>
      </c>
      <c r="D13" s="116" t="s">
        <v>2508</v>
      </c>
      <c r="E13" s="116" t="s">
        <v>2509</v>
      </c>
      <c r="F13" s="116" t="s">
        <v>2510</v>
      </c>
      <c r="G13" s="61">
        <v>90000000</v>
      </c>
      <c r="H13" s="61">
        <f>SUM(G13*11%)</f>
        <v>9900000</v>
      </c>
    </row>
    <row r="14" spans="1:13" ht="17.25" customHeight="1" x14ac:dyDescent="0.25">
      <c r="A14" s="139"/>
      <c r="B14" s="115"/>
      <c r="C14" s="75"/>
      <c r="D14" s="116"/>
      <c r="E14" s="116"/>
      <c r="F14" s="116"/>
      <c r="G14" s="61"/>
      <c r="H14" s="43"/>
    </row>
    <row r="15" spans="1:13" ht="17.25" customHeight="1" x14ac:dyDescent="0.25">
      <c r="A15" s="84">
        <v>44768</v>
      </c>
      <c r="B15" s="75" t="s">
        <v>2511</v>
      </c>
      <c r="C15" s="75" t="s">
        <v>2512</v>
      </c>
      <c r="D15" s="143" t="s">
        <v>2513</v>
      </c>
      <c r="E15" s="143" t="s">
        <v>1879</v>
      </c>
      <c r="F15" s="42" t="s">
        <v>2514</v>
      </c>
      <c r="G15" s="43">
        <v>4320000</v>
      </c>
      <c r="H15" s="43">
        <f>SUM(G15*11%)</f>
        <v>475200</v>
      </c>
    </row>
    <row r="16" spans="1:13" ht="17.25" customHeight="1" x14ac:dyDescent="0.25">
      <c r="A16" s="84">
        <v>44768</v>
      </c>
      <c r="B16" s="75" t="s">
        <v>2515</v>
      </c>
      <c r="C16" s="75" t="s">
        <v>2516</v>
      </c>
      <c r="D16" s="143" t="s">
        <v>2513</v>
      </c>
      <c r="E16" s="143" t="s">
        <v>1879</v>
      </c>
      <c r="F16" s="42" t="s">
        <v>2517</v>
      </c>
      <c r="G16" s="43">
        <v>4320000</v>
      </c>
      <c r="H16" s="43">
        <f>SUM(G16*11%)</f>
        <v>475200</v>
      </c>
    </row>
    <row r="17" spans="1:9" ht="17.25" customHeight="1" x14ac:dyDescent="0.25">
      <c r="A17" s="84">
        <v>44768</v>
      </c>
      <c r="B17" s="75" t="s">
        <v>2518</v>
      </c>
      <c r="C17" s="75" t="s">
        <v>2519</v>
      </c>
      <c r="D17" s="143" t="s">
        <v>2513</v>
      </c>
      <c r="E17" s="143" t="s">
        <v>1879</v>
      </c>
      <c r="F17" s="42" t="s">
        <v>2520</v>
      </c>
      <c r="G17" s="43">
        <v>5882167</v>
      </c>
      <c r="H17" s="43">
        <f>SUM(G17*11%)</f>
        <v>647038.37</v>
      </c>
    </row>
    <row r="18" spans="1:9" ht="17.25" customHeight="1" x14ac:dyDescent="0.25">
      <c r="A18" s="144"/>
      <c r="B18" s="145"/>
      <c r="C18" s="145"/>
      <c r="D18" s="146"/>
      <c r="E18" s="146"/>
      <c r="F18" s="56"/>
      <c r="G18" s="57"/>
      <c r="H18" s="57"/>
    </row>
    <row r="19" spans="1:9" ht="17.25" customHeight="1" x14ac:dyDescent="0.25">
      <c r="A19" s="84">
        <v>44831</v>
      </c>
      <c r="B19" s="75" t="s">
        <v>2521</v>
      </c>
      <c r="C19" s="42" t="s">
        <v>2522</v>
      </c>
      <c r="D19" s="143" t="s">
        <v>2513</v>
      </c>
      <c r="E19" s="143" t="s">
        <v>1879</v>
      </c>
      <c r="F19" s="42" t="s">
        <v>2523</v>
      </c>
      <c r="G19" s="43">
        <v>8609000</v>
      </c>
      <c r="H19" s="43">
        <f>SUM(G19*11%)</f>
        <v>946990</v>
      </c>
    </row>
    <row r="20" spans="1:9" ht="17.25" customHeight="1" x14ac:dyDescent="0.25">
      <c r="A20" s="84">
        <v>44831</v>
      </c>
      <c r="B20" s="75" t="s">
        <v>2524</v>
      </c>
      <c r="C20" s="42" t="s">
        <v>2525</v>
      </c>
      <c r="D20" s="143" t="s">
        <v>2513</v>
      </c>
      <c r="E20" s="143" t="s">
        <v>1879</v>
      </c>
      <c r="F20" s="42" t="s">
        <v>2526</v>
      </c>
      <c r="G20" s="43">
        <v>7288000</v>
      </c>
      <c r="H20" s="43">
        <f>SUM(G20*11%)</f>
        <v>801680</v>
      </c>
    </row>
    <row r="21" spans="1:9" ht="17.25" customHeight="1" x14ac:dyDescent="0.25">
      <c r="A21" s="144"/>
      <c r="B21" s="145"/>
      <c r="C21" s="56"/>
      <c r="D21" s="146"/>
      <c r="E21" s="146"/>
      <c r="F21" s="56"/>
      <c r="G21" s="57"/>
      <c r="H21" s="57"/>
    </row>
    <row r="22" spans="1:9" ht="17.25" customHeight="1" x14ac:dyDescent="0.25">
      <c r="A22" s="139">
        <v>44875</v>
      </c>
      <c r="B22" s="115" t="s">
        <v>2527</v>
      </c>
      <c r="C22" s="116" t="s">
        <v>2528</v>
      </c>
      <c r="D22" s="116" t="s">
        <v>2529</v>
      </c>
      <c r="E22" s="116" t="s">
        <v>2530</v>
      </c>
      <c r="F22" s="116" t="s">
        <v>2531</v>
      </c>
      <c r="G22" s="61">
        <v>18276933</v>
      </c>
      <c r="H22" s="61">
        <f>SUM(G22*11%)-1</f>
        <v>2010461.6300000001</v>
      </c>
      <c r="I22" s="133"/>
    </row>
    <row r="23" spans="1:9" ht="17.25" customHeight="1" x14ac:dyDescent="0.25">
      <c r="A23" s="141"/>
      <c r="B23" s="135"/>
      <c r="C23" s="136"/>
      <c r="D23" s="136"/>
      <c r="E23" s="136"/>
      <c r="F23" s="136"/>
      <c r="G23" s="138"/>
      <c r="H23" s="138"/>
      <c r="I23" s="133"/>
    </row>
    <row r="24" spans="1:9" ht="17.25" customHeight="1" x14ac:dyDescent="0.25">
      <c r="A24" s="84">
        <v>44883</v>
      </c>
      <c r="B24" s="40" t="s">
        <v>2532</v>
      </c>
      <c r="C24" s="42" t="s">
        <v>2533</v>
      </c>
      <c r="D24" s="42" t="s">
        <v>1845</v>
      </c>
      <c r="E24" s="42" t="s">
        <v>1879</v>
      </c>
      <c r="F24" s="42" t="s">
        <v>2534</v>
      </c>
      <c r="G24" s="43">
        <v>4000000</v>
      </c>
      <c r="H24" s="43">
        <f>SUM(G24*11%)</f>
        <v>440000</v>
      </c>
      <c r="I24" s="133"/>
    </row>
    <row r="25" spans="1:9" ht="17.25" customHeight="1" x14ac:dyDescent="0.25">
      <c r="A25" s="84">
        <v>44883</v>
      </c>
      <c r="B25" s="40" t="s">
        <v>2535</v>
      </c>
      <c r="C25" s="42" t="s">
        <v>2536</v>
      </c>
      <c r="D25" s="42" t="s">
        <v>1845</v>
      </c>
      <c r="E25" s="42" t="s">
        <v>1879</v>
      </c>
      <c r="F25" s="42" t="s">
        <v>1855</v>
      </c>
      <c r="G25" s="43">
        <v>1000000</v>
      </c>
      <c r="H25" s="43">
        <f>SUM(G25*11%)</f>
        <v>110000</v>
      </c>
      <c r="I25" s="133"/>
    </row>
    <row r="26" spans="1:9" ht="17.25" customHeight="1" x14ac:dyDescent="0.25">
      <c r="A26" s="84">
        <v>44883</v>
      </c>
      <c r="B26" s="40" t="s">
        <v>2537</v>
      </c>
      <c r="C26" s="42" t="s">
        <v>2538</v>
      </c>
      <c r="D26" s="42" t="s">
        <v>1845</v>
      </c>
      <c r="E26" s="42" t="s">
        <v>1879</v>
      </c>
      <c r="F26" s="42" t="s">
        <v>2539</v>
      </c>
      <c r="G26" s="43">
        <v>6297666</v>
      </c>
      <c r="H26" s="43">
        <f>SUM(G26*11%)</f>
        <v>692743.26</v>
      </c>
      <c r="I26" s="133"/>
    </row>
    <row r="27" spans="1:9" ht="17.25" customHeight="1" x14ac:dyDescent="0.25">
      <c r="A27" s="144"/>
      <c r="B27" s="54"/>
      <c r="C27" s="56"/>
      <c r="D27" s="56"/>
      <c r="E27" s="56"/>
      <c r="F27" s="56"/>
      <c r="G27" s="57"/>
      <c r="H27" s="57"/>
      <c r="I27" s="133"/>
    </row>
    <row r="28" spans="1:9" ht="17.25" customHeight="1" x14ac:dyDescent="0.2">
      <c r="A28" s="1"/>
      <c r="G28" s="3"/>
      <c r="H28" s="3"/>
      <c r="I28" s="133"/>
    </row>
    <row r="29" spans="1:9" ht="17.25" customHeight="1" x14ac:dyDescent="0.2">
      <c r="A29" s="1"/>
      <c r="G29" s="3"/>
      <c r="H29" s="3"/>
      <c r="I29" s="133"/>
    </row>
    <row r="30" spans="1:9" ht="17.25" customHeight="1" x14ac:dyDescent="0.2">
      <c r="A30" s="1"/>
      <c r="G30" s="3"/>
      <c r="H30" s="3"/>
      <c r="I30" s="133"/>
    </row>
    <row r="31" spans="1:9" ht="17.25" customHeight="1" x14ac:dyDescent="0.2">
      <c r="A31" s="1"/>
      <c r="G31" s="3"/>
      <c r="H31" s="3"/>
      <c r="I31" s="133"/>
    </row>
    <row r="32" spans="1:9" ht="17.25" customHeight="1" x14ac:dyDescent="0.2">
      <c r="A32" s="1"/>
      <c r="G32" s="3"/>
      <c r="H32" s="3"/>
      <c r="I32" s="133"/>
    </row>
    <row r="33" spans="1:9" ht="17.25" customHeight="1" x14ac:dyDescent="0.2">
      <c r="A33" s="1"/>
      <c r="G33" s="3"/>
      <c r="H33" s="3"/>
      <c r="I33" s="133"/>
    </row>
    <row r="34" spans="1:9" ht="17.25" customHeight="1" x14ac:dyDescent="0.2">
      <c r="A34" s="1"/>
      <c r="G34" s="3"/>
      <c r="H34" s="3"/>
      <c r="I34" s="133"/>
    </row>
    <row r="35" spans="1:9" ht="17.25" customHeight="1" x14ac:dyDescent="0.2">
      <c r="A35" s="1"/>
      <c r="G35" s="3"/>
      <c r="H35" s="3"/>
      <c r="I35" s="133"/>
    </row>
    <row r="36" spans="1:9" ht="17.25" customHeight="1" x14ac:dyDescent="0.2">
      <c r="A36" s="1"/>
      <c r="G36" s="3"/>
      <c r="H36" s="3"/>
      <c r="I36" s="133"/>
    </row>
    <row r="37" spans="1:9" ht="17.25" customHeight="1" x14ac:dyDescent="0.2">
      <c r="A37" s="1"/>
      <c r="G37" s="3"/>
      <c r="H37" s="3"/>
      <c r="I37" s="133"/>
    </row>
    <row r="38" spans="1:9" ht="17.25" customHeight="1" x14ac:dyDescent="0.2">
      <c r="A38" s="1"/>
      <c r="G38" s="3"/>
      <c r="H38" s="3"/>
      <c r="I38" s="133"/>
    </row>
    <row r="39" spans="1:9" ht="17.25" customHeight="1" x14ac:dyDescent="0.2">
      <c r="A39" s="1"/>
      <c r="G39" s="3"/>
      <c r="H39" s="3"/>
      <c r="I39" s="133"/>
    </row>
    <row r="40" spans="1:9" ht="17.25" customHeight="1" x14ac:dyDescent="0.2">
      <c r="A40" s="1"/>
      <c r="G40" s="3"/>
      <c r="H40" s="3"/>
      <c r="I40" s="133"/>
    </row>
    <row r="41" spans="1:9" ht="17.25" customHeight="1" x14ac:dyDescent="0.2">
      <c r="A41" s="1"/>
      <c r="G41" s="3"/>
      <c r="H41" s="3"/>
      <c r="I41" s="133"/>
    </row>
    <row r="42" spans="1:9" ht="17.25" customHeight="1" x14ac:dyDescent="0.2">
      <c r="A42" s="1"/>
      <c r="G42" s="3"/>
      <c r="H42" s="3"/>
      <c r="I42" s="133"/>
    </row>
    <row r="43" spans="1:9" ht="17.25" customHeight="1" x14ac:dyDescent="0.2">
      <c r="A43" s="1"/>
      <c r="G43" s="3"/>
      <c r="H43" s="3"/>
      <c r="I43" s="133"/>
    </row>
    <row r="44" spans="1:9" ht="17.25" customHeight="1" x14ac:dyDescent="0.2">
      <c r="A44" s="1"/>
      <c r="G44" s="3"/>
      <c r="H44" s="3"/>
      <c r="I44" s="133"/>
    </row>
    <row r="45" spans="1:9" ht="17.25" customHeight="1" x14ac:dyDescent="0.2">
      <c r="A45" s="1"/>
      <c r="G45" s="3"/>
      <c r="H45" s="3"/>
      <c r="I45" s="133"/>
    </row>
    <row r="46" spans="1:9" ht="17.25" customHeight="1" x14ac:dyDescent="0.2">
      <c r="A46" s="1"/>
      <c r="G46" s="3"/>
      <c r="H46" s="3"/>
      <c r="I46" s="133"/>
    </row>
    <row r="47" spans="1:9" ht="17.25" customHeight="1" x14ac:dyDescent="0.2">
      <c r="A47" s="1"/>
      <c r="G47" s="3"/>
      <c r="H47" s="3"/>
      <c r="I47" s="133"/>
    </row>
    <row r="48" spans="1:9" ht="17.25" customHeight="1" x14ac:dyDescent="0.2">
      <c r="A48" s="1"/>
      <c r="G48" s="3"/>
      <c r="H48" s="3"/>
      <c r="I48" s="133"/>
    </row>
    <row r="49" spans="1:9" ht="17.25" customHeight="1" x14ac:dyDescent="0.2">
      <c r="A49" s="1"/>
      <c r="G49" s="3"/>
      <c r="H49" s="3"/>
      <c r="I49" s="133"/>
    </row>
    <row r="50" spans="1:9" ht="17.25" customHeight="1" x14ac:dyDescent="0.2">
      <c r="A50" s="1"/>
      <c r="G50" s="3"/>
      <c r="H50" s="3"/>
      <c r="I50" s="133"/>
    </row>
    <row r="51" spans="1:9" ht="17.25" customHeight="1" x14ac:dyDescent="0.2">
      <c r="A51" s="1"/>
      <c r="G51" s="3"/>
      <c r="H51" s="3"/>
      <c r="I51" s="133"/>
    </row>
    <row r="52" spans="1:9" ht="17.25" customHeight="1" x14ac:dyDescent="0.2">
      <c r="A52" s="1"/>
      <c r="G52" s="3"/>
      <c r="H52" s="3"/>
      <c r="I52" s="133"/>
    </row>
    <row r="53" spans="1:9" ht="17.25" customHeight="1" x14ac:dyDescent="0.2">
      <c r="A53" s="1"/>
      <c r="G53" s="3"/>
      <c r="H53" s="3"/>
      <c r="I53" s="133"/>
    </row>
    <row r="54" spans="1:9" ht="17.25" customHeight="1" x14ac:dyDescent="0.2">
      <c r="A54" s="1"/>
      <c r="G54" s="3"/>
      <c r="H54" s="3"/>
      <c r="I54" s="133"/>
    </row>
    <row r="55" spans="1:9" ht="17.25" customHeight="1" x14ac:dyDescent="0.2">
      <c r="A55" s="1"/>
      <c r="G55" s="3"/>
      <c r="H55" s="3"/>
      <c r="I55" s="1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N30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4.33203125" style="78" bestFit="1" customWidth="1"/>
    <col min="2" max="2" width="12.5" style="2" bestFit="1" customWidth="1"/>
    <col min="3" max="3" width="22" style="2" bestFit="1" customWidth="1"/>
    <col min="4" max="4" width="18.33203125" style="2" bestFit="1" customWidth="1"/>
    <col min="5" max="5" width="15.6640625" style="2" bestFit="1" customWidth="1"/>
    <col min="6" max="6" width="12.5" style="2" bestFit="1" customWidth="1"/>
    <col min="7" max="7" width="17" style="79" bestFit="1" customWidth="1"/>
    <col min="8" max="8" width="16.5" style="79" bestFit="1" customWidth="1"/>
    <col min="9" max="9" width="15.33203125" style="81" bestFit="1" customWidth="1"/>
    <col min="10" max="10" width="14.6640625" style="128" bestFit="1" customWidth="1"/>
    <col min="11" max="11" width="21" bestFit="1" customWidth="1"/>
    <col min="12" max="12" width="11.1640625" bestFit="1" customWidth="1"/>
    <col min="13" max="13" width="18.33203125" style="128" bestFit="1" customWidth="1"/>
    <col min="14" max="14" width="17" style="82" bestFit="1" customWidth="1"/>
  </cols>
  <sheetData>
    <row r="1" spans="1:14" ht="17.25" customHeight="1" x14ac:dyDescent="0.2">
      <c r="A1" s="83">
        <v>2023</v>
      </c>
      <c r="G1" s="3"/>
      <c r="H1" s="3"/>
      <c r="I1" s="4"/>
      <c r="J1" s="3"/>
      <c r="M1" s="3"/>
      <c r="N1" s="5"/>
    </row>
    <row r="2" spans="1:14" ht="17.25" customHeight="1" x14ac:dyDescent="0.2">
      <c r="A2" s="1"/>
      <c r="G2" s="3"/>
      <c r="H2" s="3"/>
      <c r="I2" s="4"/>
      <c r="J2" s="3"/>
      <c r="M2" s="3"/>
      <c r="N2" s="5"/>
    </row>
    <row r="3" spans="1:14" ht="17.25" customHeight="1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8" t="s">
        <v>6</v>
      </c>
      <c r="H3" s="8" t="s">
        <v>7</v>
      </c>
      <c r="I3" s="9" t="s">
        <v>8</v>
      </c>
      <c r="J3" s="8" t="s">
        <v>9</v>
      </c>
      <c r="K3" s="7" t="s">
        <v>10</v>
      </c>
      <c r="L3" s="7" t="s">
        <v>11</v>
      </c>
      <c r="M3" s="8" t="s">
        <v>12</v>
      </c>
      <c r="N3" s="5"/>
    </row>
    <row r="4" spans="1:14" ht="17.25" customHeight="1" x14ac:dyDescent="0.25">
      <c r="A4" s="84">
        <v>44930</v>
      </c>
      <c r="B4" s="42" t="s">
        <v>1843</v>
      </c>
      <c r="C4" s="42" t="s">
        <v>1844</v>
      </c>
      <c r="D4" s="42" t="s">
        <v>1845</v>
      </c>
      <c r="E4" s="42" t="s">
        <v>1846</v>
      </c>
      <c r="F4" s="42" t="s">
        <v>1847</v>
      </c>
      <c r="G4" s="43">
        <v>3231767</v>
      </c>
      <c r="H4" s="43">
        <f>G4*11%</f>
        <v>355494.37</v>
      </c>
      <c r="I4" s="85"/>
      <c r="J4" s="86"/>
      <c r="K4" s="87"/>
      <c r="L4" s="87"/>
      <c r="M4" s="86"/>
      <c r="N4" s="5"/>
    </row>
    <row r="5" spans="1:14" ht="17.25" customHeight="1" x14ac:dyDescent="0.25">
      <c r="A5" s="84">
        <v>44930</v>
      </c>
      <c r="B5" s="42" t="s">
        <v>1848</v>
      </c>
      <c r="C5" s="42" t="s">
        <v>1849</v>
      </c>
      <c r="D5" s="42" t="s">
        <v>1845</v>
      </c>
      <c r="E5" s="42" t="s">
        <v>1846</v>
      </c>
      <c r="F5" s="42" t="s">
        <v>1850</v>
      </c>
      <c r="G5" s="43">
        <v>1803000</v>
      </c>
      <c r="H5" s="43">
        <f>G5*11%</f>
        <v>198330</v>
      </c>
      <c r="I5" s="85"/>
      <c r="J5" s="86"/>
      <c r="K5" s="87"/>
      <c r="L5" s="87"/>
      <c r="M5" s="86"/>
      <c r="N5" s="5"/>
    </row>
    <row r="6" spans="1:14" ht="17.25" customHeight="1" x14ac:dyDescent="0.25">
      <c r="A6" s="88"/>
      <c r="B6" s="89"/>
      <c r="C6" s="89"/>
      <c r="D6" s="89"/>
      <c r="E6" s="89"/>
      <c r="F6" s="89"/>
      <c r="G6" s="77"/>
      <c r="H6" s="77"/>
      <c r="I6" s="85"/>
      <c r="J6" s="86"/>
      <c r="K6" s="87"/>
      <c r="L6" s="87"/>
      <c r="M6" s="86"/>
      <c r="N6" s="5"/>
    </row>
    <row r="7" spans="1:14" ht="17.25" customHeight="1" x14ac:dyDescent="0.25">
      <c r="A7" s="88">
        <v>44943</v>
      </c>
      <c r="B7" s="89" t="s">
        <v>1851</v>
      </c>
      <c r="C7" s="89" t="s">
        <v>1852</v>
      </c>
      <c r="D7" s="89" t="s">
        <v>1853</v>
      </c>
      <c r="E7" s="89" t="s">
        <v>1854</v>
      </c>
      <c r="F7" s="89" t="s">
        <v>1855</v>
      </c>
      <c r="G7" s="43">
        <v>1400000</v>
      </c>
      <c r="H7" s="77">
        <f>G7*11%</f>
        <v>154000</v>
      </c>
      <c r="I7" s="85"/>
      <c r="J7" s="86"/>
      <c r="K7" s="87"/>
      <c r="L7" s="87"/>
      <c r="M7" s="86"/>
      <c r="N7" s="62">
        <f t="shared" ref="N7:N38" si="0">J7*2%</f>
        <v>0</v>
      </c>
    </row>
    <row r="8" spans="1:14" ht="17.25" customHeight="1" x14ac:dyDescent="0.2">
      <c r="A8" s="90"/>
      <c r="B8" s="87"/>
      <c r="C8" s="87"/>
      <c r="D8" s="87"/>
      <c r="E8" s="87"/>
      <c r="F8" s="87"/>
      <c r="G8" s="86"/>
      <c r="H8" s="86"/>
      <c r="I8" s="85"/>
      <c r="J8" s="86"/>
      <c r="K8" s="87"/>
      <c r="L8" s="87"/>
      <c r="M8" s="86"/>
      <c r="N8" s="62">
        <f t="shared" si="0"/>
        <v>0</v>
      </c>
    </row>
    <row r="9" spans="1:14" ht="17.25" customHeight="1" x14ac:dyDescent="0.25">
      <c r="A9" s="88">
        <v>44960</v>
      </c>
      <c r="B9" s="89" t="s">
        <v>1856</v>
      </c>
      <c r="C9" s="89" t="s">
        <v>1857</v>
      </c>
      <c r="D9" s="42" t="s">
        <v>1853</v>
      </c>
      <c r="E9" s="42" t="s">
        <v>1858</v>
      </c>
      <c r="F9" s="42" t="s">
        <v>1859</v>
      </c>
      <c r="G9" s="43">
        <v>14191440</v>
      </c>
      <c r="H9" s="77">
        <f>G9*11%</f>
        <v>1561058.4</v>
      </c>
      <c r="I9" s="85"/>
      <c r="J9" s="86"/>
      <c r="K9" s="87"/>
      <c r="L9" s="87"/>
      <c r="M9" s="86"/>
      <c r="N9" s="62">
        <f t="shared" si="0"/>
        <v>0</v>
      </c>
    </row>
    <row r="10" spans="1:14" ht="17.25" customHeight="1" x14ac:dyDescent="0.25">
      <c r="A10" s="88"/>
      <c r="B10" s="89"/>
      <c r="C10" s="89"/>
      <c r="D10" s="42"/>
      <c r="E10" s="42"/>
      <c r="F10" s="42"/>
      <c r="G10" s="43"/>
      <c r="H10" s="77"/>
      <c r="I10" s="85"/>
      <c r="J10" s="86"/>
      <c r="K10" s="87"/>
      <c r="L10" s="87"/>
      <c r="M10" s="86"/>
      <c r="N10" s="62">
        <f t="shared" si="0"/>
        <v>0</v>
      </c>
    </row>
    <row r="11" spans="1:14" ht="17.25" customHeight="1" x14ac:dyDescent="0.25">
      <c r="A11" s="88">
        <v>44966</v>
      </c>
      <c r="B11" s="89" t="s">
        <v>1860</v>
      </c>
      <c r="C11" s="89" t="s">
        <v>1861</v>
      </c>
      <c r="D11" s="42" t="s">
        <v>1862</v>
      </c>
      <c r="E11" s="42" t="s">
        <v>1863</v>
      </c>
      <c r="F11" s="42" t="s">
        <v>1864</v>
      </c>
      <c r="G11" s="43">
        <v>3976000</v>
      </c>
      <c r="H11" s="43">
        <f>G11*11%</f>
        <v>437360</v>
      </c>
      <c r="I11" s="85"/>
      <c r="J11" s="86"/>
      <c r="K11" s="87"/>
      <c r="L11" s="87"/>
      <c r="M11" s="86"/>
      <c r="N11" s="62">
        <f t="shared" si="0"/>
        <v>0</v>
      </c>
    </row>
    <row r="12" spans="1:14" ht="17.25" customHeight="1" x14ac:dyDescent="0.25">
      <c r="A12" s="88"/>
      <c r="B12" s="89"/>
      <c r="C12" s="89"/>
      <c r="D12" s="42"/>
      <c r="E12" s="42"/>
      <c r="F12" s="42"/>
      <c r="G12" s="43"/>
      <c r="H12" s="43"/>
      <c r="I12" s="85"/>
      <c r="J12" s="86"/>
      <c r="K12" s="87"/>
      <c r="L12" s="87"/>
      <c r="M12" s="86"/>
      <c r="N12" s="62">
        <f t="shared" si="0"/>
        <v>0</v>
      </c>
    </row>
    <row r="13" spans="1:14" ht="17.25" customHeight="1" x14ac:dyDescent="0.25">
      <c r="A13" s="88">
        <v>45017</v>
      </c>
      <c r="B13" s="89" t="s">
        <v>1865</v>
      </c>
      <c r="C13" s="89" t="s">
        <v>1866</v>
      </c>
      <c r="D13" s="42" t="s">
        <v>1862</v>
      </c>
      <c r="E13" s="42" t="s">
        <v>1867</v>
      </c>
      <c r="F13" s="42" t="s">
        <v>1868</v>
      </c>
      <c r="G13" s="43">
        <v>9483013</v>
      </c>
      <c r="H13" s="43">
        <f>G13*11%</f>
        <v>1043131.43</v>
      </c>
      <c r="I13" s="85"/>
      <c r="J13" s="86"/>
      <c r="K13" s="87"/>
      <c r="L13" s="87"/>
      <c r="M13" s="86"/>
      <c r="N13" s="62">
        <f t="shared" si="0"/>
        <v>0</v>
      </c>
    </row>
    <row r="14" spans="1:14" ht="17.25" customHeight="1" x14ac:dyDescent="0.25">
      <c r="A14" s="88">
        <v>45017</v>
      </c>
      <c r="B14" s="89" t="s">
        <v>1869</v>
      </c>
      <c r="C14" s="89" t="s">
        <v>1870</v>
      </c>
      <c r="D14" s="42" t="s">
        <v>1862</v>
      </c>
      <c r="E14" s="42" t="s">
        <v>1871</v>
      </c>
      <c r="F14" s="42" t="s">
        <v>1872</v>
      </c>
      <c r="G14" s="43">
        <v>3339000</v>
      </c>
      <c r="H14" s="43">
        <f>G14*11%</f>
        <v>367290</v>
      </c>
      <c r="I14" s="85"/>
      <c r="J14" s="86"/>
      <c r="K14" s="87"/>
      <c r="L14" s="87"/>
      <c r="M14" s="86"/>
      <c r="N14" s="62">
        <f t="shared" si="0"/>
        <v>0</v>
      </c>
    </row>
    <row r="15" spans="1:14" ht="17.25" customHeight="1" x14ac:dyDescent="0.25">
      <c r="A15" s="88">
        <v>45017</v>
      </c>
      <c r="B15" s="89" t="s">
        <v>1873</v>
      </c>
      <c r="C15" s="89" t="s">
        <v>1874</v>
      </c>
      <c r="D15" s="42" t="s">
        <v>1862</v>
      </c>
      <c r="E15" s="42" t="s">
        <v>1867</v>
      </c>
      <c r="F15" s="42" t="s">
        <v>1875</v>
      </c>
      <c r="G15" s="43">
        <v>870000</v>
      </c>
      <c r="H15" s="43">
        <f>G15*11%</f>
        <v>95700</v>
      </c>
      <c r="I15" s="85"/>
      <c r="J15" s="86"/>
      <c r="K15" s="87"/>
      <c r="L15" s="87"/>
      <c r="M15" s="86"/>
      <c r="N15" s="62">
        <f t="shared" si="0"/>
        <v>0</v>
      </c>
    </row>
    <row r="16" spans="1:14" ht="17.25" customHeight="1" x14ac:dyDescent="0.25">
      <c r="A16" s="88"/>
      <c r="B16" s="89"/>
      <c r="C16" s="89"/>
      <c r="D16" s="42"/>
      <c r="E16" s="42"/>
      <c r="F16" s="42"/>
      <c r="G16" s="43"/>
      <c r="H16" s="43"/>
      <c r="I16" s="85"/>
      <c r="J16" s="86"/>
      <c r="K16" s="87"/>
      <c r="L16" s="87"/>
      <c r="M16" s="86"/>
      <c r="N16" s="62">
        <f t="shared" si="0"/>
        <v>0</v>
      </c>
    </row>
    <row r="17" spans="1:14" ht="17.25" customHeight="1" x14ac:dyDescent="0.25">
      <c r="A17" s="88">
        <v>45031</v>
      </c>
      <c r="B17" s="89" t="s">
        <v>1876</v>
      </c>
      <c r="C17" s="89" t="s">
        <v>1877</v>
      </c>
      <c r="D17" s="42" t="s">
        <v>1878</v>
      </c>
      <c r="E17" s="42" t="s">
        <v>1879</v>
      </c>
      <c r="F17" s="42" t="s">
        <v>1880</v>
      </c>
      <c r="G17" s="43">
        <v>1000000</v>
      </c>
      <c r="H17" s="43">
        <f>G17*11%</f>
        <v>110000</v>
      </c>
      <c r="I17" s="85"/>
      <c r="J17" s="86"/>
      <c r="K17" s="87"/>
      <c r="L17" s="87"/>
      <c r="M17" s="86"/>
      <c r="N17" s="62">
        <f t="shared" si="0"/>
        <v>0</v>
      </c>
    </row>
    <row r="18" spans="1:14" ht="17.25" customHeight="1" x14ac:dyDescent="0.25">
      <c r="A18" s="88">
        <v>45031</v>
      </c>
      <c r="B18" s="89" t="s">
        <v>1881</v>
      </c>
      <c r="C18" s="89" t="s">
        <v>1882</v>
      </c>
      <c r="D18" s="42" t="s">
        <v>1878</v>
      </c>
      <c r="E18" s="42" t="s">
        <v>1879</v>
      </c>
      <c r="F18" s="42" t="s">
        <v>1883</v>
      </c>
      <c r="G18" s="43">
        <v>1803000</v>
      </c>
      <c r="H18" s="43">
        <f>G18*11%</f>
        <v>198330</v>
      </c>
      <c r="I18" s="85"/>
      <c r="J18" s="86"/>
      <c r="K18" s="87"/>
      <c r="L18" s="87"/>
      <c r="M18" s="86"/>
      <c r="N18" s="62">
        <f t="shared" si="0"/>
        <v>0</v>
      </c>
    </row>
    <row r="19" spans="1:14" ht="17.25" customHeight="1" x14ac:dyDescent="0.25">
      <c r="A19" s="88">
        <v>45031</v>
      </c>
      <c r="B19" s="89" t="s">
        <v>1884</v>
      </c>
      <c r="C19" s="89" t="s">
        <v>1885</v>
      </c>
      <c r="D19" s="42" t="s">
        <v>1878</v>
      </c>
      <c r="E19" s="42" t="s">
        <v>1879</v>
      </c>
      <c r="F19" s="42" t="s">
        <v>1886</v>
      </c>
      <c r="G19" s="43">
        <v>1803000</v>
      </c>
      <c r="H19" s="43">
        <f>G19*11%</f>
        <v>198330</v>
      </c>
      <c r="I19" s="85"/>
      <c r="J19" s="86"/>
      <c r="K19" s="87"/>
      <c r="L19" s="87"/>
      <c r="M19" s="86"/>
      <c r="N19" s="62">
        <f t="shared" si="0"/>
        <v>0</v>
      </c>
    </row>
    <row r="20" spans="1:14" ht="17.25" customHeight="1" x14ac:dyDescent="0.25">
      <c r="A20" s="88">
        <v>45031</v>
      </c>
      <c r="B20" s="89" t="s">
        <v>1887</v>
      </c>
      <c r="C20" s="89" t="s">
        <v>1888</v>
      </c>
      <c r="D20" s="42" t="s">
        <v>1878</v>
      </c>
      <c r="E20" s="42" t="s">
        <v>1879</v>
      </c>
      <c r="F20" s="42" t="s">
        <v>1889</v>
      </c>
      <c r="G20" s="43">
        <v>1803000</v>
      </c>
      <c r="H20" s="43">
        <f>G20*11%</f>
        <v>198330</v>
      </c>
      <c r="I20" s="85"/>
      <c r="J20" s="86"/>
      <c r="K20" s="87"/>
      <c r="L20" s="87"/>
      <c r="M20" s="86"/>
      <c r="N20" s="62">
        <f t="shared" si="0"/>
        <v>0</v>
      </c>
    </row>
    <row r="21" spans="1:14" ht="17.25" customHeight="1" x14ac:dyDescent="0.25">
      <c r="A21" s="88"/>
      <c r="B21" s="89"/>
      <c r="C21" s="89"/>
      <c r="D21" s="42"/>
      <c r="E21" s="42"/>
      <c r="F21" s="42"/>
      <c r="G21" s="43"/>
      <c r="H21" s="43"/>
      <c r="I21" s="85"/>
      <c r="J21" s="86"/>
      <c r="K21" s="87"/>
      <c r="L21" s="87"/>
      <c r="M21" s="86"/>
      <c r="N21" s="62">
        <f t="shared" si="0"/>
        <v>0</v>
      </c>
    </row>
    <row r="22" spans="1:14" ht="17.25" customHeight="1" x14ac:dyDescent="0.25">
      <c r="A22" s="88">
        <v>45061</v>
      </c>
      <c r="B22" s="89" t="s">
        <v>1890</v>
      </c>
      <c r="C22" s="89" t="s">
        <v>1891</v>
      </c>
      <c r="D22" s="42" t="s">
        <v>1892</v>
      </c>
      <c r="E22" s="42" t="s">
        <v>1893</v>
      </c>
      <c r="F22" s="42" t="s">
        <v>1894</v>
      </c>
      <c r="G22" s="43">
        <v>29604784</v>
      </c>
      <c r="H22" s="43">
        <v>3256526</v>
      </c>
      <c r="I22" s="85"/>
      <c r="J22" s="86"/>
      <c r="K22" s="87"/>
      <c r="L22" s="87"/>
      <c r="M22" s="86"/>
      <c r="N22" s="62">
        <f t="shared" si="0"/>
        <v>0</v>
      </c>
    </row>
    <row r="23" spans="1:14" ht="17.25" customHeight="1" x14ac:dyDescent="0.25">
      <c r="A23" s="88"/>
      <c r="B23" s="89"/>
      <c r="C23" s="89"/>
      <c r="D23" s="42"/>
      <c r="E23" s="42"/>
      <c r="F23" s="42"/>
      <c r="G23" s="43"/>
      <c r="H23" s="43"/>
      <c r="I23" s="85"/>
      <c r="J23" s="86"/>
      <c r="K23" s="87"/>
      <c r="L23" s="87"/>
      <c r="M23" s="86"/>
      <c r="N23" s="62">
        <f t="shared" si="0"/>
        <v>0</v>
      </c>
    </row>
    <row r="24" spans="1:14" ht="17.25" customHeight="1" x14ac:dyDescent="0.25">
      <c r="A24" s="88">
        <v>45105</v>
      </c>
      <c r="B24" s="89" t="s">
        <v>1895</v>
      </c>
      <c r="C24" s="89" t="s">
        <v>1896</v>
      </c>
      <c r="D24" s="42" t="s">
        <v>1862</v>
      </c>
      <c r="E24" s="42" t="s">
        <v>1897</v>
      </c>
      <c r="F24" s="42" t="s">
        <v>1898</v>
      </c>
      <c r="G24" s="43">
        <v>3224000</v>
      </c>
      <c r="H24" s="43">
        <f>G24*11%</f>
        <v>354640</v>
      </c>
      <c r="I24" s="85"/>
      <c r="J24" s="86"/>
      <c r="K24" s="87"/>
      <c r="L24" s="87"/>
      <c r="M24" s="86"/>
      <c r="N24" s="62">
        <f t="shared" si="0"/>
        <v>0</v>
      </c>
    </row>
    <row r="25" spans="1:14" ht="17.25" customHeight="1" x14ac:dyDescent="0.25">
      <c r="A25" s="88">
        <v>45105</v>
      </c>
      <c r="B25" s="89" t="s">
        <v>1899</v>
      </c>
      <c r="C25" s="89" t="s">
        <v>1900</v>
      </c>
      <c r="D25" s="42" t="s">
        <v>1862</v>
      </c>
      <c r="E25" s="42" t="s">
        <v>1901</v>
      </c>
      <c r="F25" s="42" t="s">
        <v>1902</v>
      </c>
      <c r="G25" s="43">
        <v>900000</v>
      </c>
      <c r="H25" s="43">
        <f>G25*11%</f>
        <v>99000</v>
      </c>
      <c r="I25" s="85"/>
      <c r="J25" s="86"/>
      <c r="K25" s="87"/>
      <c r="L25" s="87"/>
      <c r="M25" s="86"/>
      <c r="N25" s="62">
        <f t="shared" si="0"/>
        <v>0</v>
      </c>
    </row>
    <row r="26" spans="1:14" ht="17.25" customHeight="1" x14ac:dyDescent="0.25">
      <c r="A26" s="88"/>
      <c r="B26" s="89"/>
      <c r="C26" s="89"/>
      <c r="D26" s="42"/>
      <c r="E26" s="42"/>
      <c r="F26" s="42"/>
      <c r="G26" s="43"/>
      <c r="H26" s="43"/>
      <c r="I26" s="77"/>
      <c r="J26" s="86"/>
      <c r="K26" s="87"/>
      <c r="L26" s="87"/>
      <c r="M26" s="86"/>
      <c r="N26" s="62">
        <f t="shared" si="0"/>
        <v>0</v>
      </c>
    </row>
    <row r="27" spans="1:14" ht="17.25" customHeight="1" x14ac:dyDescent="0.25">
      <c r="A27" s="88">
        <v>45120</v>
      </c>
      <c r="B27" s="89" t="s">
        <v>1903</v>
      </c>
      <c r="C27" s="89" t="s">
        <v>1904</v>
      </c>
      <c r="D27" s="42" t="s">
        <v>1862</v>
      </c>
      <c r="E27" s="42" t="s">
        <v>1905</v>
      </c>
      <c r="F27" s="42" t="s">
        <v>1906</v>
      </c>
      <c r="G27" s="43">
        <v>2500000</v>
      </c>
      <c r="H27" s="43">
        <f>G27*11%</f>
        <v>275000</v>
      </c>
      <c r="I27" s="85"/>
      <c r="J27" s="86"/>
      <c r="K27" s="87"/>
      <c r="L27" s="87"/>
      <c r="M27" s="86"/>
      <c r="N27" s="62">
        <f t="shared" si="0"/>
        <v>0</v>
      </c>
    </row>
    <row r="28" spans="1:14" ht="17.25" customHeight="1" x14ac:dyDescent="0.25">
      <c r="A28" s="88">
        <v>45120</v>
      </c>
      <c r="B28" s="89" t="s">
        <v>1907</v>
      </c>
      <c r="C28" s="89" t="s">
        <v>1908</v>
      </c>
      <c r="D28" s="42" t="s">
        <v>1862</v>
      </c>
      <c r="E28" s="42" t="s">
        <v>1909</v>
      </c>
      <c r="F28" s="42" t="s">
        <v>1910</v>
      </c>
      <c r="G28" s="43">
        <v>6689500</v>
      </c>
      <c r="H28" s="43">
        <f>G28*11%</f>
        <v>735845</v>
      </c>
      <c r="I28" s="85"/>
      <c r="J28" s="86"/>
      <c r="K28" s="87"/>
      <c r="L28" s="87"/>
      <c r="M28" s="86"/>
      <c r="N28" s="62">
        <f t="shared" si="0"/>
        <v>0</v>
      </c>
    </row>
    <row r="29" spans="1:14" ht="17.25" customHeight="1" x14ac:dyDescent="0.25">
      <c r="A29" s="88">
        <v>45120</v>
      </c>
      <c r="B29" s="89" t="s">
        <v>1911</v>
      </c>
      <c r="C29" s="89" t="s">
        <v>1912</v>
      </c>
      <c r="D29" s="42" t="s">
        <v>1862</v>
      </c>
      <c r="E29" s="42" t="s">
        <v>1913</v>
      </c>
      <c r="F29" s="42" t="s">
        <v>1914</v>
      </c>
      <c r="G29" s="43">
        <v>3867500</v>
      </c>
      <c r="H29" s="43">
        <f>G29*11%</f>
        <v>425425</v>
      </c>
      <c r="I29" s="85"/>
      <c r="J29" s="86"/>
      <c r="K29" s="87"/>
      <c r="L29" s="87"/>
      <c r="M29" s="86"/>
      <c r="N29" s="62">
        <f t="shared" si="0"/>
        <v>0</v>
      </c>
    </row>
    <row r="30" spans="1:14" ht="17.25" customHeight="1" x14ac:dyDescent="0.25">
      <c r="A30" s="88"/>
      <c r="B30" s="89"/>
      <c r="C30" s="89"/>
      <c r="D30" s="42"/>
      <c r="E30" s="42"/>
      <c r="F30" s="42"/>
      <c r="G30" s="43"/>
      <c r="H30" s="43"/>
      <c r="I30" s="85"/>
      <c r="J30" s="86"/>
      <c r="K30" s="87"/>
      <c r="L30" s="87"/>
      <c r="M30" s="86"/>
      <c r="N30" s="62">
        <f t="shared" si="0"/>
        <v>0</v>
      </c>
    </row>
    <row r="31" spans="1:14" ht="17.25" customHeight="1" x14ac:dyDescent="0.25">
      <c r="A31" s="91" t="s">
        <v>1915</v>
      </c>
      <c r="B31" s="92" t="s">
        <v>1916</v>
      </c>
      <c r="C31" s="92" t="s">
        <v>1917</v>
      </c>
      <c r="D31" s="71" t="s">
        <v>1918</v>
      </c>
      <c r="E31" s="71" t="s">
        <v>1919</v>
      </c>
      <c r="F31" s="71" t="s">
        <v>1920</v>
      </c>
      <c r="G31" s="72">
        <v>16750000</v>
      </c>
      <c r="H31" s="72">
        <f>G31*11%</f>
        <v>1842500</v>
      </c>
      <c r="I31" s="85"/>
      <c r="J31" s="86"/>
      <c r="K31" s="87"/>
      <c r="L31" s="87"/>
      <c r="M31" s="86"/>
      <c r="N31" s="62">
        <f t="shared" si="0"/>
        <v>0</v>
      </c>
    </row>
    <row r="32" spans="1:14" ht="17.25" customHeight="1" x14ac:dyDescent="0.25">
      <c r="A32" s="93"/>
      <c r="B32" s="92"/>
      <c r="C32" s="92"/>
      <c r="D32" s="71"/>
      <c r="E32" s="71"/>
      <c r="F32" s="71"/>
      <c r="G32" s="72"/>
      <c r="H32" s="72"/>
      <c r="I32" s="85"/>
      <c r="J32" s="86"/>
      <c r="K32" s="87"/>
      <c r="L32" s="87"/>
      <c r="M32" s="86"/>
      <c r="N32" s="62">
        <f t="shared" si="0"/>
        <v>0</v>
      </c>
    </row>
    <row r="33" spans="1:14" ht="17.25" customHeight="1" x14ac:dyDescent="0.25">
      <c r="A33" s="94" t="s">
        <v>1921</v>
      </c>
      <c r="B33" s="89" t="s">
        <v>1922</v>
      </c>
      <c r="C33" s="89" t="s">
        <v>1923</v>
      </c>
      <c r="D33" s="42" t="s">
        <v>1862</v>
      </c>
      <c r="E33" s="42" t="s">
        <v>1924</v>
      </c>
      <c r="F33" s="42" t="s">
        <v>1925</v>
      </c>
      <c r="G33" s="43">
        <v>42425097</v>
      </c>
      <c r="H33" s="43">
        <f>G33*11%</f>
        <v>4666760.67</v>
      </c>
      <c r="I33" s="85"/>
      <c r="J33" s="86"/>
      <c r="K33" s="87"/>
      <c r="L33" s="87"/>
      <c r="M33" s="86"/>
      <c r="N33" s="62">
        <f t="shared" si="0"/>
        <v>0</v>
      </c>
    </row>
    <row r="34" spans="1:14" ht="17.25" customHeight="1" x14ac:dyDescent="0.25">
      <c r="A34" s="88"/>
      <c r="B34" s="89"/>
      <c r="C34" s="89"/>
      <c r="D34" s="42"/>
      <c r="E34" s="42"/>
      <c r="F34" s="42"/>
      <c r="G34" s="43"/>
      <c r="H34" s="43"/>
      <c r="I34" s="85"/>
      <c r="J34" s="86"/>
      <c r="K34" s="87"/>
      <c r="L34" s="87"/>
      <c r="M34" s="86"/>
      <c r="N34" s="62">
        <f t="shared" si="0"/>
        <v>0</v>
      </c>
    </row>
    <row r="35" spans="1:14" ht="17.25" customHeight="1" x14ac:dyDescent="0.25">
      <c r="A35" s="95" t="s">
        <v>1926</v>
      </c>
      <c r="B35" s="96" t="s">
        <v>1927</v>
      </c>
      <c r="C35" s="96" t="s">
        <v>1928</v>
      </c>
      <c r="D35" s="96" t="s">
        <v>1918</v>
      </c>
      <c r="E35" s="96" t="s">
        <v>1919</v>
      </c>
      <c r="F35" s="96" t="s">
        <v>1920</v>
      </c>
      <c r="G35" s="97">
        <v>22000000</v>
      </c>
      <c r="H35" s="97">
        <f>G35*11%</f>
        <v>2420000</v>
      </c>
      <c r="I35" s="98">
        <v>45296</v>
      </c>
      <c r="J35" s="99"/>
      <c r="K35" s="100"/>
      <c r="L35" s="100"/>
      <c r="M35" s="99"/>
      <c r="N35" s="62">
        <f t="shared" si="0"/>
        <v>0</v>
      </c>
    </row>
    <row r="36" spans="1:14" ht="17.25" customHeight="1" x14ac:dyDescent="0.25">
      <c r="A36" s="93"/>
      <c r="B36" s="92"/>
      <c r="C36" s="92"/>
      <c r="D36" s="71"/>
      <c r="E36" s="71"/>
      <c r="F36" s="71"/>
      <c r="G36" s="72"/>
      <c r="H36" s="72"/>
      <c r="I36" s="85"/>
      <c r="J36" s="86"/>
      <c r="K36" s="87"/>
      <c r="L36" s="87"/>
      <c r="M36" s="86"/>
      <c r="N36" s="62">
        <f t="shared" si="0"/>
        <v>0</v>
      </c>
    </row>
    <row r="37" spans="1:14" ht="17.25" customHeight="1" x14ac:dyDescent="0.25">
      <c r="A37" s="88">
        <v>45170</v>
      </c>
      <c r="B37" s="89" t="s">
        <v>1929</v>
      </c>
      <c r="C37" s="89" t="s">
        <v>1930</v>
      </c>
      <c r="D37" s="42" t="s">
        <v>1931</v>
      </c>
      <c r="E37" s="42" t="s">
        <v>1932</v>
      </c>
      <c r="F37" s="42" t="s">
        <v>1933</v>
      </c>
      <c r="G37" s="43">
        <v>957500</v>
      </c>
      <c r="H37" s="43">
        <f>G37*11%</f>
        <v>105325</v>
      </c>
      <c r="I37" s="85"/>
      <c r="J37" s="86"/>
      <c r="K37" s="87"/>
      <c r="L37" s="87"/>
      <c r="M37" s="86"/>
      <c r="N37" s="62">
        <f t="shared" si="0"/>
        <v>0</v>
      </c>
    </row>
    <row r="38" spans="1:14" ht="17.25" customHeight="1" x14ac:dyDescent="0.25">
      <c r="A38" s="88"/>
      <c r="B38" s="89"/>
      <c r="C38" s="89"/>
      <c r="D38" s="42"/>
      <c r="E38" s="42"/>
      <c r="F38" s="42"/>
      <c r="G38" s="43"/>
      <c r="H38" s="43"/>
      <c r="I38" s="85"/>
      <c r="J38" s="86"/>
      <c r="K38" s="87"/>
      <c r="L38" s="87"/>
      <c r="M38" s="86"/>
      <c r="N38" s="62">
        <f t="shared" si="0"/>
        <v>0</v>
      </c>
    </row>
    <row r="39" spans="1:14" ht="17.25" customHeight="1" x14ac:dyDescent="0.25">
      <c r="A39" s="21">
        <v>45174</v>
      </c>
      <c r="B39" s="22" t="s">
        <v>1934</v>
      </c>
      <c r="C39" s="22" t="s">
        <v>1935</v>
      </c>
      <c r="D39" s="22" t="s">
        <v>1936</v>
      </c>
      <c r="E39" s="22" t="s">
        <v>1937</v>
      </c>
      <c r="F39" s="22" t="s">
        <v>1938</v>
      </c>
      <c r="G39" s="24">
        <v>75261160</v>
      </c>
      <c r="H39" s="24">
        <f>G39*11%-1</f>
        <v>8278726.5999999996</v>
      </c>
      <c r="I39" s="25">
        <v>45296</v>
      </c>
      <c r="J39" s="101"/>
      <c r="K39" s="26"/>
      <c r="L39" s="26"/>
      <c r="M39" s="101"/>
      <c r="N39" s="62">
        <f t="shared" ref="N39:N55" si="1">J39*2%</f>
        <v>0</v>
      </c>
    </row>
    <row r="40" spans="1:14" ht="17.25" customHeight="1" x14ac:dyDescent="0.25">
      <c r="A40" s="21">
        <v>45174</v>
      </c>
      <c r="B40" s="22" t="s">
        <v>1939</v>
      </c>
      <c r="C40" s="22" t="s">
        <v>1940</v>
      </c>
      <c r="D40" s="22" t="s">
        <v>1936</v>
      </c>
      <c r="E40" s="22" t="s">
        <v>1937</v>
      </c>
      <c r="F40" s="22" t="s">
        <v>1910</v>
      </c>
      <c r="G40" s="24">
        <v>74793960</v>
      </c>
      <c r="H40" s="24">
        <f>G40*11%-1</f>
        <v>8227334.5999999996</v>
      </c>
      <c r="I40" s="25"/>
      <c r="J40" s="101"/>
      <c r="K40" s="26"/>
      <c r="L40" s="26"/>
      <c r="M40" s="101"/>
      <c r="N40" s="62">
        <f t="shared" si="1"/>
        <v>0</v>
      </c>
    </row>
    <row r="41" spans="1:14" ht="17.25" customHeight="1" x14ac:dyDescent="0.25">
      <c r="A41" s="88"/>
      <c r="B41" s="89"/>
      <c r="C41" s="89"/>
      <c r="D41" s="42"/>
      <c r="E41" s="42"/>
      <c r="F41" s="42"/>
      <c r="G41" s="43"/>
      <c r="H41" s="43"/>
      <c r="I41" s="85"/>
      <c r="J41" s="86"/>
      <c r="K41" s="87"/>
      <c r="L41" s="87"/>
      <c r="M41" s="86"/>
      <c r="N41" s="62">
        <f t="shared" si="1"/>
        <v>0</v>
      </c>
    </row>
    <row r="42" spans="1:14" ht="17.25" customHeight="1" x14ac:dyDescent="0.25">
      <c r="A42" s="88">
        <v>45180</v>
      </c>
      <c r="B42" s="89" t="s">
        <v>1941</v>
      </c>
      <c r="C42" s="89" t="s">
        <v>1942</v>
      </c>
      <c r="D42" s="42" t="s">
        <v>1862</v>
      </c>
      <c r="E42" s="42" t="s">
        <v>1943</v>
      </c>
      <c r="F42" s="42" t="s">
        <v>1944</v>
      </c>
      <c r="G42" s="43">
        <v>3867500</v>
      </c>
      <c r="H42" s="43">
        <f>G42*11%</f>
        <v>425425</v>
      </c>
      <c r="I42" s="85"/>
      <c r="J42" s="86"/>
      <c r="K42" s="87"/>
      <c r="L42" s="87"/>
      <c r="M42" s="86"/>
      <c r="N42" s="62">
        <f t="shared" si="1"/>
        <v>0</v>
      </c>
    </row>
    <row r="43" spans="1:14" ht="17.25" customHeight="1" x14ac:dyDescent="0.25">
      <c r="A43" s="88"/>
      <c r="B43" s="89"/>
      <c r="C43" s="89"/>
      <c r="D43" s="42"/>
      <c r="E43" s="42"/>
      <c r="F43" s="42"/>
      <c r="G43" s="43"/>
      <c r="H43" s="43"/>
      <c r="I43" s="85"/>
      <c r="J43" s="86"/>
      <c r="K43" s="87"/>
      <c r="L43" s="87"/>
      <c r="M43" s="86"/>
      <c r="N43" s="62">
        <f t="shared" si="1"/>
        <v>0</v>
      </c>
    </row>
    <row r="44" spans="1:14" ht="17.25" customHeight="1" x14ac:dyDescent="0.25">
      <c r="A44" s="88">
        <v>45185</v>
      </c>
      <c r="B44" s="89" t="s">
        <v>1945</v>
      </c>
      <c r="C44" s="89" t="s">
        <v>1946</v>
      </c>
      <c r="D44" s="42" t="s">
        <v>1947</v>
      </c>
      <c r="E44" s="42" t="s">
        <v>1948</v>
      </c>
      <c r="F44" s="42" t="s">
        <v>1949</v>
      </c>
      <c r="G44" s="43">
        <v>4682900</v>
      </c>
      <c r="H44" s="43">
        <f>G44*11%</f>
        <v>515119</v>
      </c>
      <c r="I44" s="85"/>
      <c r="J44" s="86"/>
      <c r="K44" s="87"/>
      <c r="L44" s="87"/>
      <c r="M44" s="86"/>
      <c r="N44" s="62">
        <f t="shared" si="1"/>
        <v>0</v>
      </c>
    </row>
    <row r="45" spans="1:14" ht="17.25" customHeight="1" x14ac:dyDescent="0.25">
      <c r="A45" s="88"/>
      <c r="B45" s="89"/>
      <c r="C45" s="89"/>
      <c r="D45" s="42"/>
      <c r="E45" s="42"/>
      <c r="F45" s="42"/>
      <c r="G45" s="43"/>
      <c r="H45" s="43"/>
      <c r="I45" s="85"/>
      <c r="J45" s="86"/>
      <c r="K45" s="87"/>
      <c r="L45" s="87"/>
      <c r="M45" s="86"/>
      <c r="N45" s="62">
        <f t="shared" si="1"/>
        <v>0</v>
      </c>
    </row>
    <row r="46" spans="1:14" ht="17.25" customHeight="1" x14ac:dyDescent="0.25">
      <c r="A46" s="21">
        <v>45189</v>
      </c>
      <c r="B46" s="22" t="s">
        <v>1950</v>
      </c>
      <c r="C46" s="22" t="s">
        <v>1951</v>
      </c>
      <c r="D46" s="22" t="s">
        <v>1853</v>
      </c>
      <c r="E46" s="22" t="s">
        <v>1952</v>
      </c>
      <c r="F46" s="22" t="s">
        <v>1953</v>
      </c>
      <c r="G46" s="24">
        <v>216340</v>
      </c>
      <c r="H46" s="24">
        <f>G46*11%</f>
        <v>23797.4</v>
      </c>
      <c r="I46" s="25">
        <v>45297</v>
      </c>
      <c r="J46" s="101"/>
      <c r="K46" s="26"/>
      <c r="L46" s="26"/>
      <c r="M46" s="101"/>
      <c r="N46" s="62">
        <f t="shared" si="1"/>
        <v>0</v>
      </c>
    </row>
    <row r="47" spans="1:14" ht="17.25" customHeight="1" x14ac:dyDescent="0.25">
      <c r="A47" s="88"/>
      <c r="B47" s="89"/>
      <c r="C47" s="89"/>
      <c r="D47" s="42"/>
      <c r="E47" s="42"/>
      <c r="F47" s="42"/>
      <c r="G47" s="43"/>
      <c r="H47" s="43"/>
      <c r="I47" s="85"/>
      <c r="J47" s="86"/>
      <c r="K47" s="87"/>
      <c r="L47" s="87"/>
      <c r="M47" s="86"/>
      <c r="N47" s="62">
        <f t="shared" si="1"/>
        <v>0</v>
      </c>
    </row>
    <row r="48" spans="1:14" ht="17.25" customHeight="1" x14ac:dyDescent="0.25">
      <c r="A48" s="88">
        <v>45190</v>
      </c>
      <c r="B48" s="89" t="s">
        <v>1954</v>
      </c>
      <c r="C48" s="89" t="s">
        <v>1955</v>
      </c>
      <c r="D48" s="42" t="s">
        <v>1862</v>
      </c>
      <c r="E48" s="42" t="s">
        <v>1956</v>
      </c>
      <c r="F48" s="42" t="s">
        <v>1957</v>
      </c>
      <c r="G48" s="43">
        <v>17532199</v>
      </c>
      <c r="H48" s="43">
        <f>G48*11%-1</f>
        <v>1928540.89</v>
      </c>
      <c r="I48" s="85"/>
      <c r="J48" s="86"/>
      <c r="K48" s="87"/>
      <c r="L48" s="87"/>
      <c r="M48" s="86"/>
      <c r="N48" s="62">
        <f t="shared" si="1"/>
        <v>0</v>
      </c>
    </row>
    <row r="49" spans="1:14" ht="17.25" customHeight="1" x14ac:dyDescent="0.25">
      <c r="A49" s="88"/>
      <c r="B49" s="89"/>
      <c r="C49" s="89"/>
      <c r="D49" s="42"/>
      <c r="E49" s="42"/>
      <c r="F49" s="42"/>
      <c r="G49" s="43"/>
      <c r="H49" s="43"/>
      <c r="I49" s="85"/>
      <c r="J49" s="86"/>
      <c r="K49" s="87"/>
      <c r="L49" s="87"/>
      <c r="M49" s="86"/>
      <c r="N49" s="62">
        <f t="shared" si="1"/>
        <v>0</v>
      </c>
    </row>
    <row r="50" spans="1:14" ht="17.25" customHeight="1" x14ac:dyDescent="0.25">
      <c r="A50" s="88">
        <v>45192</v>
      </c>
      <c r="B50" s="89" t="s">
        <v>1958</v>
      </c>
      <c r="C50" s="89" t="s">
        <v>1959</v>
      </c>
      <c r="D50" s="42" t="s">
        <v>1931</v>
      </c>
      <c r="E50" s="42" t="s">
        <v>1960</v>
      </c>
      <c r="F50" s="42" t="s">
        <v>1875</v>
      </c>
      <c r="G50" s="43">
        <v>1430000</v>
      </c>
      <c r="H50" s="43">
        <f>G50*11%</f>
        <v>157300</v>
      </c>
      <c r="I50" s="85"/>
      <c r="J50" s="86"/>
      <c r="K50" s="87"/>
      <c r="L50" s="87"/>
      <c r="M50" s="86"/>
      <c r="N50" s="62">
        <f t="shared" si="1"/>
        <v>0</v>
      </c>
    </row>
    <row r="51" spans="1:14" ht="17.25" customHeight="1" x14ac:dyDescent="0.2">
      <c r="A51" s="90"/>
      <c r="B51" s="87"/>
      <c r="C51" s="87"/>
      <c r="D51" s="87"/>
      <c r="E51" s="87"/>
      <c r="F51" s="87"/>
      <c r="G51" s="86"/>
      <c r="H51" s="86"/>
      <c r="I51" s="85"/>
      <c r="J51" s="86"/>
      <c r="K51" s="87"/>
      <c r="L51" s="87"/>
      <c r="M51" s="86"/>
      <c r="N51" s="62">
        <f t="shared" si="1"/>
        <v>0</v>
      </c>
    </row>
    <row r="52" spans="1:14" ht="17.25" customHeight="1" x14ac:dyDescent="0.25">
      <c r="A52" s="88">
        <v>45199</v>
      </c>
      <c r="B52" s="89" t="s">
        <v>1961</v>
      </c>
      <c r="C52" s="89" t="s">
        <v>1962</v>
      </c>
      <c r="D52" s="42" t="s">
        <v>1931</v>
      </c>
      <c r="E52" s="42" t="s">
        <v>1932</v>
      </c>
      <c r="F52" s="42" t="s">
        <v>1875</v>
      </c>
      <c r="G52" s="43">
        <v>13151000</v>
      </c>
      <c r="H52" s="43">
        <f>G52*11%</f>
        <v>1446610</v>
      </c>
      <c r="I52" s="85"/>
      <c r="J52" s="86"/>
      <c r="K52" s="87"/>
      <c r="L52" s="87"/>
      <c r="M52" s="86"/>
      <c r="N52" s="62">
        <f t="shared" si="1"/>
        <v>0</v>
      </c>
    </row>
    <row r="53" spans="1:14" ht="17.25" customHeight="1" x14ac:dyDescent="0.25">
      <c r="A53" s="88"/>
      <c r="B53" s="89"/>
      <c r="C53" s="89"/>
      <c r="D53" s="42"/>
      <c r="E53" s="42"/>
      <c r="F53" s="42"/>
      <c r="G53" s="43"/>
      <c r="H53" s="43"/>
      <c r="I53" s="85"/>
      <c r="J53" s="86"/>
      <c r="K53" s="87"/>
      <c r="L53" s="87"/>
      <c r="M53" s="86"/>
      <c r="N53" s="62">
        <f t="shared" si="1"/>
        <v>0</v>
      </c>
    </row>
    <row r="54" spans="1:14" ht="17.25" customHeight="1" x14ac:dyDescent="0.25">
      <c r="A54" s="88">
        <v>45201</v>
      </c>
      <c r="B54" s="89" t="s">
        <v>1963</v>
      </c>
      <c r="C54" s="89" t="s">
        <v>1964</v>
      </c>
      <c r="D54" s="42" t="s">
        <v>1853</v>
      </c>
      <c r="E54" s="42" t="s">
        <v>1965</v>
      </c>
      <c r="F54" s="42" t="s">
        <v>1966</v>
      </c>
      <c r="G54" s="43">
        <v>10331150</v>
      </c>
      <c r="H54" s="43">
        <f>G54*11%-1</f>
        <v>1136425.5</v>
      </c>
      <c r="I54" s="85"/>
      <c r="J54" s="86"/>
      <c r="K54" s="87"/>
      <c r="L54" s="87"/>
      <c r="M54" s="86"/>
      <c r="N54" s="62">
        <f t="shared" si="1"/>
        <v>0</v>
      </c>
    </row>
    <row r="55" spans="1:14" ht="17.25" customHeight="1" x14ac:dyDescent="0.25">
      <c r="A55" s="88"/>
      <c r="B55" s="89"/>
      <c r="C55" s="89"/>
      <c r="D55" s="42"/>
      <c r="E55" s="42"/>
      <c r="F55" s="42"/>
      <c r="G55" s="43"/>
      <c r="H55" s="43"/>
      <c r="I55" s="85"/>
      <c r="J55" s="86"/>
      <c r="K55" s="87"/>
      <c r="L55" s="87"/>
      <c r="M55" s="86"/>
      <c r="N55" s="62">
        <f t="shared" si="1"/>
        <v>0</v>
      </c>
    </row>
    <row r="56" spans="1:14" ht="17.25" customHeight="1" x14ac:dyDescent="0.25">
      <c r="A56" s="88">
        <v>45208</v>
      </c>
      <c r="B56" s="89" t="s">
        <v>1967</v>
      </c>
      <c r="C56" s="89" t="s">
        <v>1968</v>
      </c>
      <c r="D56" s="42" t="s">
        <v>1969</v>
      </c>
      <c r="E56" s="42" t="s">
        <v>1970</v>
      </c>
      <c r="F56" s="42" t="s">
        <v>1875</v>
      </c>
      <c r="G56" s="43">
        <v>8872500</v>
      </c>
      <c r="H56" s="43">
        <f>G56*11%</f>
        <v>975975</v>
      </c>
      <c r="I56" s="85"/>
      <c r="J56" s="86"/>
      <c r="K56" s="87"/>
      <c r="L56" s="87"/>
      <c r="M56" s="86"/>
      <c r="N56" s="62"/>
    </row>
    <row r="57" spans="1:14" ht="17.25" customHeight="1" x14ac:dyDescent="0.25">
      <c r="A57" s="88"/>
      <c r="B57" s="89"/>
      <c r="C57" s="89"/>
      <c r="D57" s="42"/>
      <c r="E57" s="42"/>
      <c r="F57" s="42"/>
      <c r="G57" s="43"/>
      <c r="H57" s="43"/>
      <c r="I57" s="85"/>
      <c r="J57" s="86"/>
      <c r="K57" s="87"/>
      <c r="L57" s="87"/>
      <c r="M57" s="86"/>
      <c r="N57" s="62"/>
    </row>
    <row r="58" spans="1:14" ht="17.25" customHeight="1" x14ac:dyDescent="0.25">
      <c r="A58" s="21">
        <v>45216</v>
      </c>
      <c r="B58" s="22" t="s">
        <v>1971</v>
      </c>
      <c r="C58" s="22" t="s">
        <v>1972</v>
      </c>
      <c r="D58" s="22" t="s">
        <v>1936</v>
      </c>
      <c r="E58" s="22" t="s">
        <v>1973</v>
      </c>
      <c r="F58" s="22" t="s">
        <v>1974</v>
      </c>
      <c r="G58" s="24">
        <v>6036000</v>
      </c>
      <c r="H58" s="24">
        <f>G58*11%</f>
        <v>663960</v>
      </c>
      <c r="I58" s="25">
        <v>45308</v>
      </c>
      <c r="J58" s="101"/>
      <c r="K58" s="26"/>
      <c r="L58" s="26"/>
      <c r="M58" s="101"/>
      <c r="N58" s="62">
        <f>J58*2%</f>
        <v>0</v>
      </c>
    </row>
    <row r="59" spans="1:14" ht="17.25" customHeight="1" x14ac:dyDescent="0.25">
      <c r="A59" s="88"/>
      <c r="B59" s="89"/>
      <c r="C59" s="89"/>
      <c r="D59" s="42"/>
      <c r="E59" s="89"/>
      <c r="F59" s="42"/>
      <c r="G59" s="43"/>
      <c r="H59" s="43"/>
      <c r="I59" s="85"/>
      <c r="J59" s="86"/>
      <c r="K59" s="87"/>
      <c r="L59" s="87"/>
      <c r="M59" s="86"/>
      <c r="N59" s="62"/>
    </row>
    <row r="60" spans="1:14" ht="17.25" customHeight="1" x14ac:dyDescent="0.25">
      <c r="A60" s="88">
        <v>45216</v>
      </c>
      <c r="B60" s="89" t="s">
        <v>1975</v>
      </c>
      <c r="C60" s="89" t="s">
        <v>1976</v>
      </c>
      <c r="D60" s="42" t="s">
        <v>1936</v>
      </c>
      <c r="E60" s="89" t="s">
        <v>1973</v>
      </c>
      <c r="F60" s="42" t="s">
        <v>1938</v>
      </c>
      <c r="G60" s="43">
        <v>6081000</v>
      </c>
      <c r="H60" s="43">
        <f>G60*11%</f>
        <v>668910</v>
      </c>
      <c r="I60" s="85"/>
      <c r="J60" s="86"/>
      <c r="K60" s="87"/>
      <c r="L60" s="87"/>
      <c r="M60" s="86"/>
      <c r="N60" s="62">
        <f>J60*2%</f>
        <v>0</v>
      </c>
    </row>
    <row r="61" spans="1:14" ht="17.25" customHeight="1" x14ac:dyDescent="0.25">
      <c r="A61" s="88">
        <v>45216</v>
      </c>
      <c r="B61" s="89" t="s">
        <v>1977</v>
      </c>
      <c r="C61" s="89" t="s">
        <v>1978</v>
      </c>
      <c r="D61" s="42" t="s">
        <v>1936</v>
      </c>
      <c r="E61" s="89" t="s">
        <v>1973</v>
      </c>
      <c r="F61" s="42" t="s">
        <v>1979</v>
      </c>
      <c r="G61" s="43">
        <v>6081000</v>
      </c>
      <c r="H61" s="43">
        <f>G61*11%</f>
        <v>668910</v>
      </c>
      <c r="I61" s="85"/>
      <c r="J61" s="86"/>
      <c r="K61" s="87"/>
      <c r="L61" s="87"/>
      <c r="M61" s="86"/>
      <c r="N61" s="62">
        <f>J61*2%</f>
        <v>0</v>
      </c>
    </row>
    <row r="62" spans="1:14" ht="17.25" customHeight="1" x14ac:dyDescent="0.25">
      <c r="A62" s="88"/>
      <c r="B62" s="89"/>
      <c r="C62" s="89"/>
      <c r="D62" s="42"/>
      <c r="E62" s="89"/>
      <c r="F62" s="42"/>
      <c r="G62" s="43"/>
      <c r="H62" s="43"/>
      <c r="I62" s="85"/>
      <c r="J62" s="86"/>
      <c r="K62" s="87"/>
      <c r="L62" s="87"/>
      <c r="M62" s="86"/>
      <c r="N62" s="62"/>
    </row>
    <row r="63" spans="1:14" ht="17.25" customHeight="1" x14ac:dyDescent="0.25">
      <c r="A63" s="21">
        <v>45216</v>
      </c>
      <c r="B63" s="22" t="s">
        <v>1980</v>
      </c>
      <c r="C63" s="22" t="s">
        <v>1981</v>
      </c>
      <c r="D63" s="22" t="s">
        <v>1853</v>
      </c>
      <c r="E63" s="22" t="s">
        <v>1952</v>
      </c>
      <c r="F63" s="22" t="s">
        <v>1966</v>
      </c>
      <c r="G63" s="24">
        <v>5616180</v>
      </c>
      <c r="H63" s="24">
        <f>G63*11%-1</f>
        <v>617778.80000000005</v>
      </c>
      <c r="I63" s="25">
        <v>45297</v>
      </c>
      <c r="J63" s="101"/>
      <c r="K63" s="26"/>
      <c r="L63" s="26"/>
      <c r="M63" s="101"/>
      <c r="N63" s="62">
        <f>J63*2%</f>
        <v>0</v>
      </c>
    </row>
    <row r="64" spans="1:14" ht="17.25" customHeight="1" x14ac:dyDescent="0.25">
      <c r="A64" s="88"/>
      <c r="B64" s="89"/>
      <c r="C64" s="89"/>
      <c r="D64" s="42"/>
      <c r="E64" s="42"/>
      <c r="F64" s="42"/>
      <c r="G64" s="43"/>
      <c r="H64" s="43"/>
      <c r="I64" s="85"/>
      <c r="J64" s="86"/>
      <c r="K64" s="87"/>
      <c r="L64" s="87"/>
      <c r="M64" s="86"/>
      <c r="N64" s="62">
        <f>J64*2%</f>
        <v>0</v>
      </c>
    </row>
    <row r="65" spans="1:14" ht="17.25" customHeight="1" x14ac:dyDescent="0.25">
      <c r="A65" s="102">
        <v>45062</v>
      </c>
      <c r="B65" s="103" t="s">
        <v>1982</v>
      </c>
      <c r="C65" s="103" t="s">
        <v>1983</v>
      </c>
      <c r="D65" s="103" t="s">
        <v>1931</v>
      </c>
      <c r="E65" s="103" t="s">
        <v>1960</v>
      </c>
      <c r="F65" s="103" t="s">
        <v>1984</v>
      </c>
      <c r="G65" s="104">
        <v>223750</v>
      </c>
      <c r="H65" s="104">
        <v>24612</v>
      </c>
      <c r="I65" s="105">
        <v>45302</v>
      </c>
      <c r="J65" s="106"/>
      <c r="K65" s="107"/>
      <c r="L65" s="107"/>
      <c r="M65" s="106"/>
      <c r="N65" s="62"/>
    </row>
    <row r="66" spans="1:14" ht="17.25" customHeight="1" x14ac:dyDescent="0.25">
      <c r="A66" s="102">
        <v>45092</v>
      </c>
      <c r="B66" s="103" t="s">
        <v>1985</v>
      </c>
      <c r="C66" s="103" t="s">
        <v>1986</v>
      </c>
      <c r="D66" s="103" t="s">
        <v>1987</v>
      </c>
      <c r="E66" s="103" t="s">
        <v>1960</v>
      </c>
      <c r="F66" s="103" t="s">
        <v>1938</v>
      </c>
      <c r="G66" s="104">
        <v>77910</v>
      </c>
      <c r="H66" s="104">
        <f>G66*11%</f>
        <v>8570.1</v>
      </c>
      <c r="I66" s="105"/>
      <c r="J66" s="106"/>
      <c r="K66" s="107"/>
      <c r="L66" s="107"/>
      <c r="M66" s="106"/>
      <c r="N66" s="62"/>
    </row>
    <row r="67" spans="1:14" ht="17.25" customHeight="1" x14ac:dyDescent="0.25">
      <c r="A67" s="108" t="s">
        <v>1915</v>
      </c>
      <c r="B67" s="103" t="s">
        <v>1988</v>
      </c>
      <c r="C67" s="103" t="s">
        <v>1989</v>
      </c>
      <c r="D67" s="103" t="s">
        <v>1931</v>
      </c>
      <c r="E67" s="103" t="s">
        <v>1990</v>
      </c>
      <c r="F67" s="103" t="s">
        <v>1991</v>
      </c>
      <c r="G67" s="104">
        <v>292500</v>
      </c>
      <c r="H67" s="104">
        <f>G67*11%</f>
        <v>32175</v>
      </c>
      <c r="I67" s="105"/>
      <c r="J67" s="106"/>
      <c r="K67" s="107"/>
      <c r="L67" s="107"/>
      <c r="M67" s="106"/>
      <c r="N67" s="62"/>
    </row>
    <row r="68" spans="1:14" ht="17.25" customHeight="1" x14ac:dyDescent="0.25">
      <c r="A68" s="102">
        <v>45217</v>
      </c>
      <c r="B68" s="103" t="s">
        <v>1992</v>
      </c>
      <c r="C68" s="103" t="s">
        <v>1993</v>
      </c>
      <c r="D68" s="103" t="s">
        <v>1931</v>
      </c>
      <c r="E68" s="103" t="s">
        <v>1994</v>
      </c>
      <c r="F68" s="103" t="s">
        <v>1995</v>
      </c>
      <c r="G68" s="104">
        <v>4660000</v>
      </c>
      <c r="H68" s="104">
        <f>G68*11%</f>
        <v>512600</v>
      </c>
      <c r="I68" s="105"/>
      <c r="J68" s="106"/>
      <c r="K68" s="107"/>
      <c r="L68" s="107"/>
      <c r="M68" s="106"/>
      <c r="N68" s="62">
        <f>J68*2%</f>
        <v>0</v>
      </c>
    </row>
    <row r="69" spans="1:14" ht="17.25" customHeight="1" x14ac:dyDescent="0.25">
      <c r="A69" s="88"/>
      <c r="B69" s="89"/>
      <c r="C69" s="89"/>
      <c r="D69" s="42"/>
      <c r="E69" s="42"/>
      <c r="F69" s="42"/>
      <c r="G69" s="43"/>
      <c r="H69" s="43"/>
      <c r="I69" s="85"/>
      <c r="J69" s="86"/>
      <c r="K69" s="87"/>
      <c r="L69" s="87"/>
      <c r="M69" s="86"/>
      <c r="N69" s="62"/>
    </row>
    <row r="70" spans="1:14" ht="17.25" customHeight="1" x14ac:dyDescent="0.25">
      <c r="A70" s="21">
        <v>45219</v>
      </c>
      <c r="B70" s="22" t="s">
        <v>1996</v>
      </c>
      <c r="C70" s="22" t="s">
        <v>1997</v>
      </c>
      <c r="D70" s="22" t="s">
        <v>1998</v>
      </c>
      <c r="E70" s="22" t="s">
        <v>1999</v>
      </c>
      <c r="F70" s="22" t="s">
        <v>2000</v>
      </c>
      <c r="G70" s="24">
        <v>292600</v>
      </c>
      <c r="H70" s="24">
        <f>G70*11%</f>
        <v>32186</v>
      </c>
      <c r="I70" s="25">
        <v>45302</v>
      </c>
      <c r="J70" s="101"/>
      <c r="K70" s="26"/>
      <c r="L70" s="26"/>
      <c r="M70" s="101"/>
      <c r="N70" s="62">
        <f t="shared" ref="N70:N84" si="2">J70*2%</f>
        <v>0</v>
      </c>
    </row>
    <row r="71" spans="1:14" ht="17.25" customHeight="1" x14ac:dyDescent="0.25">
      <c r="A71" s="88"/>
      <c r="B71" s="89"/>
      <c r="C71" s="89"/>
      <c r="D71" s="42"/>
      <c r="E71" s="42"/>
      <c r="F71" s="42"/>
      <c r="G71" s="43"/>
      <c r="H71" s="43"/>
      <c r="I71" s="85"/>
      <c r="J71" s="86"/>
      <c r="K71" s="87"/>
      <c r="L71" s="87"/>
      <c r="M71" s="86"/>
      <c r="N71" s="62">
        <f t="shared" si="2"/>
        <v>0</v>
      </c>
    </row>
    <row r="72" spans="1:14" ht="17.25" customHeight="1" x14ac:dyDescent="0.25">
      <c r="A72" s="88">
        <v>45222</v>
      </c>
      <c r="B72" s="89" t="s">
        <v>2001</v>
      </c>
      <c r="C72" s="89" t="s">
        <v>2002</v>
      </c>
      <c r="D72" s="42" t="s">
        <v>1862</v>
      </c>
      <c r="E72" s="42" t="s">
        <v>1905</v>
      </c>
      <c r="F72" s="42" t="s">
        <v>2003</v>
      </c>
      <c r="G72" s="43">
        <v>2500000</v>
      </c>
      <c r="H72" s="43">
        <f>G72*11%</f>
        <v>275000</v>
      </c>
      <c r="I72" s="85"/>
      <c r="J72" s="86"/>
      <c r="K72" s="87"/>
      <c r="L72" s="87"/>
      <c r="M72" s="86"/>
      <c r="N72" s="62">
        <f t="shared" si="2"/>
        <v>0</v>
      </c>
    </row>
    <row r="73" spans="1:14" ht="17.25" customHeight="1" x14ac:dyDescent="0.25">
      <c r="A73" s="88">
        <v>45222</v>
      </c>
      <c r="B73" s="89" t="s">
        <v>2004</v>
      </c>
      <c r="C73" s="89" t="s">
        <v>2005</v>
      </c>
      <c r="D73" s="42" t="s">
        <v>1862</v>
      </c>
      <c r="E73" s="42" t="s">
        <v>1905</v>
      </c>
      <c r="F73" s="42" t="s">
        <v>2006</v>
      </c>
      <c r="G73" s="43">
        <v>2500000</v>
      </c>
      <c r="H73" s="43">
        <f>G73*11%</f>
        <v>275000</v>
      </c>
      <c r="I73" s="85"/>
      <c r="J73" s="86"/>
      <c r="K73" s="87"/>
      <c r="L73" s="87"/>
      <c r="M73" s="86"/>
      <c r="N73" s="62">
        <f t="shared" si="2"/>
        <v>0</v>
      </c>
    </row>
    <row r="74" spans="1:14" ht="17.25" customHeight="1" x14ac:dyDescent="0.25">
      <c r="A74" s="88">
        <v>45222</v>
      </c>
      <c r="B74" s="89" t="s">
        <v>2007</v>
      </c>
      <c r="C74" s="89" t="s">
        <v>2008</v>
      </c>
      <c r="D74" s="42" t="s">
        <v>1862</v>
      </c>
      <c r="E74" s="42" t="s">
        <v>1905</v>
      </c>
      <c r="F74" s="42" t="s">
        <v>2009</v>
      </c>
      <c r="G74" s="43">
        <v>1874998</v>
      </c>
      <c r="H74" s="43">
        <f>G74*11%-1</f>
        <v>206248.78</v>
      </c>
      <c r="I74" s="85"/>
      <c r="J74" s="86"/>
      <c r="K74" s="87"/>
      <c r="L74" s="87"/>
      <c r="M74" s="86"/>
      <c r="N74" s="62">
        <f t="shared" si="2"/>
        <v>0</v>
      </c>
    </row>
    <row r="75" spans="1:14" ht="17.25" customHeight="1" x14ac:dyDescent="0.25">
      <c r="A75" s="88">
        <v>45222</v>
      </c>
      <c r="B75" s="89" t="s">
        <v>2010</v>
      </c>
      <c r="C75" s="89" t="s">
        <v>2011</v>
      </c>
      <c r="D75" s="42" t="s">
        <v>1862</v>
      </c>
      <c r="E75" s="42" t="s">
        <v>1905</v>
      </c>
      <c r="F75" s="42" t="s">
        <v>2012</v>
      </c>
      <c r="G75" s="43">
        <v>208333</v>
      </c>
      <c r="H75" s="43">
        <f>G75*11%-1</f>
        <v>22915.63</v>
      </c>
      <c r="I75" s="85"/>
      <c r="J75" s="86"/>
      <c r="K75" s="87"/>
      <c r="L75" s="87"/>
      <c r="M75" s="86"/>
      <c r="N75" s="62">
        <f t="shared" si="2"/>
        <v>0</v>
      </c>
    </row>
    <row r="76" spans="1:14" ht="17.25" customHeight="1" x14ac:dyDescent="0.25">
      <c r="A76" s="88">
        <v>45222</v>
      </c>
      <c r="B76" s="89" t="s">
        <v>2013</v>
      </c>
      <c r="C76" s="89" t="s">
        <v>2014</v>
      </c>
      <c r="D76" s="42" t="s">
        <v>1862</v>
      </c>
      <c r="E76" s="42" t="s">
        <v>1909</v>
      </c>
      <c r="F76" s="42" t="s">
        <v>2015</v>
      </c>
      <c r="G76" s="43">
        <v>6689500</v>
      </c>
      <c r="H76" s="43">
        <f>G76*11%</f>
        <v>735845</v>
      </c>
      <c r="I76" s="85"/>
      <c r="J76" s="86"/>
      <c r="K76" s="87"/>
      <c r="L76" s="87"/>
      <c r="M76" s="86"/>
      <c r="N76" s="62">
        <f t="shared" si="2"/>
        <v>0</v>
      </c>
    </row>
    <row r="77" spans="1:14" ht="17.25" customHeight="1" x14ac:dyDescent="0.25">
      <c r="A77" s="88">
        <v>45222</v>
      </c>
      <c r="B77" s="89" t="s">
        <v>2016</v>
      </c>
      <c r="C77" s="89" t="s">
        <v>2017</v>
      </c>
      <c r="D77" s="42" t="s">
        <v>1862</v>
      </c>
      <c r="E77" s="42" t="s">
        <v>1909</v>
      </c>
      <c r="F77" s="42" t="s">
        <v>2018</v>
      </c>
      <c r="G77" s="43">
        <v>6243460</v>
      </c>
      <c r="H77" s="43">
        <f>G77*11%-1</f>
        <v>686779.6</v>
      </c>
      <c r="I77" s="85"/>
      <c r="J77" s="86"/>
      <c r="K77" s="87"/>
      <c r="L77" s="87"/>
      <c r="M77" s="86"/>
      <c r="N77" s="62">
        <f t="shared" si="2"/>
        <v>0</v>
      </c>
    </row>
    <row r="78" spans="1:14" ht="17.25" customHeight="1" x14ac:dyDescent="0.25">
      <c r="A78" s="88">
        <v>45222</v>
      </c>
      <c r="B78" s="89" t="s">
        <v>2019</v>
      </c>
      <c r="C78" s="89" t="s">
        <v>2020</v>
      </c>
      <c r="D78" s="42" t="s">
        <v>1862</v>
      </c>
      <c r="E78" s="42" t="s">
        <v>1913</v>
      </c>
      <c r="F78" s="42" t="s">
        <v>2021</v>
      </c>
      <c r="G78" s="43">
        <v>3515310</v>
      </c>
      <c r="H78" s="43">
        <f>G78*11%</f>
        <v>386684.1</v>
      </c>
      <c r="I78" s="85"/>
      <c r="J78" s="86"/>
      <c r="K78" s="87"/>
      <c r="L78" s="87"/>
      <c r="M78" s="86"/>
      <c r="N78" s="62">
        <f t="shared" si="2"/>
        <v>0</v>
      </c>
    </row>
    <row r="79" spans="1:14" ht="17.25" customHeight="1" x14ac:dyDescent="0.25">
      <c r="A79" s="88">
        <v>45222</v>
      </c>
      <c r="B79" s="89" t="s">
        <v>2022</v>
      </c>
      <c r="C79" s="89" t="s">
        <v>2023</v>
      </c>
      <c r="D79" s="42" t="s">
        <v>1862</v>
      </c>
      <c r="E79" s="42" t="s">
        <v>1913</v>
      </c>
      <c r="F79" s="42" t="s">
        <v>2024</v>
      </c>
      <c r="G79" s="43">
        <v>785391</v>
      </c>
      <c r="H79" s="43">
        <f>G79*11%</f>
        <v>86393.01</v>
      </c>
      <c r="I79" s="85"/>
      <c r="J79" s="86"/>
      <c r="K79" s="87"/>
      <c r="L79" s="87"/>
      <c r="M79" s="86"/>
      <c r="N79" s="62">
        <f t="shared" si="2"/>
        <v>0</v>
      </c>
    </row>
    <row r="80" spans="1:14" ht="17.25" customHeight="1" x14ac:dyDescent="0.25">
      <c r="A80" s="88"/>
      <c r="B80" s="89"/>
      <c r="C80" s="89"/>
      <c r="D80" s="42"/>
      <c r="E80" s="42"/>
      <c r="F80" s="42"/>
      <c r="G80" s="43"/>
      <c r="H80" s="43"/>
      <c r="I80" s="85"/>
      <c r="J80" s="86"/>
      <c r="K80" s="87"/>
      <c r="L80" s="87"/>
      <c r="M80" s="86"/>
      <c r="N80" s="62">
        <f t="shared" si="2"/>
        <v>0</v>
      </c>
    </row>
    <row r="81" spans="1:14" ht="17.25" customHeight="1" x14ac:dyDescent="0.25">
      <c r="A81" s="21">
        <v>45231</v>
      </c>
      <c r="B81" s="22" t="s">
        <v>2025</v>
      </c>
      <c r="C81" s="22" t="s">
        <v>2026</v>
      </c>
      <c r="D81" s="22" t="s">
        <v>2027</v>
      </c>
      <c r="E81" s="22" t="s">
        <v>2028</v>
      </c>
      <c r="F81" s="22" t="s">
        <v>2029</v>
      </c>
      <c r="G81" s="24">
        <v>5861420</v>
      </c>
      <c r="H81" s="24">
        <f>G81*11%</f>
        <v>644756.19999999995</v>
      </c>
      <c r="I81" s="25">
        <v>45297</v>
      </c>
      <c r="J81" s="101"/>
      <c r="K81" s="26"/>
      <c r="L81" s="26"/>
      <c r="M81" s="101"/>
      <c r="N81" s="62">
        <f t="shared" si="2"/>
        <v>0</v>
      </c>
    </row>
    <row r="82" spans="1:14" ht="17.25" customHeight="1" x14ac:dyDescent="0.25">
      <c r="A82" s="21">
        <v>45231</v>
      </c>
      <c r="B82" s="22" t="s">
        <v>2030</v>
      </c>
      <c r="C82" s="22" t="s">
        <v>2031</v>
      </c>
      <c r="D82" s="22" t="s">
        <v>2027</v>
      </c>
      <c r="E82" s="22" t="s">
        <v>2032</v>
      </c>
      <c r="F82" s="22" t="s">
        <v>2029</v>
      </c>
      <c r="G82" s="24">
        <v>1232000</v>
      </c>
      <c r="H82" s="24">
        <f>G82*11%</f>
        <v>135520</v>
      </c>
      <c r="I82" s="25"/>
      <c r="J82" s="101"/>
      <c r="K82" s="26"/>
      <c r="L82" s="26"/>
      <c r="M82" s="101"/>
      <c r="N82" s="62">
        <f t="shared" si="2"/>
        <v>0</v>
      </c>
    </row>
    <row r="83" spans="1:14" ht="17.25" customHeight="1" x14ac:dyDescent="0.25">
      <c r="A83" s="21">
        <v>45231</v>
      </c>
      <c r="B83" s="22" t="s">
        <v>2033</v>
      </c>
      <c r="C83" s="22" t="s">
        <v>2034</v>
      </c>
      <c r="D83" s="22" t="s">
        <v>2027</v>
      </c>
      <c r="E83" s="22" t="s">
        <v>2035</v>
      </c>
      <c r="F83" s="22" t="s">
        <v>2036</v>
      </c>
      <c r="G83" s="24">
        <v>400580</v>
      </c>
      <c r="H83" s="24">
        <f>G83*11%-1</f>
        <v>44062.8</v>
      </c>
      <c r="I83" s="25"/>
      <c r="J83" s="101"/>
      <c r="K83" s="26"/>
      <c r="L83" s="26"/>
      <c r="M83" s="101"/>
      <c r="N83" s="62">
        <f t="shared" si="2"/>
        <v>0</v>
      </c>
    </row>
    <row r="84" spans="1:14" ht="17.25" customHeight="1" x14ac:dyDescent="0.25">
      <c r="A84" s="88"/>
      <c r="B84" s="89"/>
      <c r="C84" s="89"/>
      <c r="D84" s="42"/>
      <c r="E84" s="42"/>
      <c r="F84" s="42"/>
      <c r="G84" s="43"/>
      <c r="H84" s="43"/>
      <c r="I84" s="85"/>
      <c r="J84" s="86"/>
      <c r="K84" s="87"/>
      <c r="L84" s="87"/>
      <c r="M84" s="86"/>
      <c r="N84" s="62">
        <f t="shared" si="2"/>
        <v>0</v>
      </c>
    </row>
    <row r="85" spans="1:14" ht="17.25" customHeight="1" x14ac:dyDescent="0.25">
      <c r="A85" s="102">
        <v>45217</v>
      </c>
      <c r="B85" s="103" t="s">
        <v>2037</v>
      </c>
      <c r="C85" s="103" t="s">
        <v>2038</v>
      </c>
      <c r="D85" s="103" t="s">
        <v>1931</v>
      </c>
      <c r="E85" s="103" t="s">
        <v>1994</v>
      </c>
      <c r="F85" s="103" t="s">
        <v>1966</v>
      </c>
      <c r="G85" s="104">
        <v>41337280</v>
      </c>
      <c r="H85" s="104">
        <f>G85*11%-1</f>
        <v>4547099.8</v>
      </c>
      <c r="I85" s="105">
        <v>45302</v>
      </c>
      <c r="J85" s="106"/>
      <c r="K85" s="107"/>
      <c r="L85" s="107"/>
      <c r="M85" s="106"/>
      <c r="N85" s="62"/>
    </row>
    <row r="86" spans="1:14" ht="17.25" customHeight="1" x14ac:dyDescent="0.25">
      <c r="A86" s="102">
        <v>45231</v>
      </c>
      <c r="B86" s="103" t="s">
        <v>2039</v>
      </c>
      <c r="C86" s="103" t="s">
        <v>2040</v>
      </c>
      <c r="D86" s="103" t="s">
        <v>1931</v>
      </c>
      <c r="E86" s="103" t="s">
        <v>1994</v>
      </c>
      <c r="F86" s="103" t="s">
        <v>2029</v>
      </c>
      <c r="G86" s="104">
        <v>52619120</v>
      </c>
      <c r="H86" s="104">
        <f>G86*11%</f>
        <v>5788103.2000000002</v>
      </c>
      <c r="I86" s="105"/>
      <c r="J86" s="106"/>
      <c r="K86" s="107"/>
      <c r="L86" s="107"/>
      <c r="M86" s="106"/>
      <c r="N86" s="62">
        <f>J86*2%</f>
        <v>0</v>
      </c>
    </row>
    <row r="87" spans="1:14" ht="17.25" customHeight="1" x14ac:dyDescent="0.25">
      <c r="A87" s="88"/>
      <c r="B87" s="89"/>
      <c r="C87" s="89"/>
      <c r="D87" s="42"/>
      <c r="E87" s="42"/>
      <c r="F87" s="42"/>
      <c r="G87" s="43"/>
      <c r="H87" s="43"/>
      <c r="I87" s="85"/>
      <c r="J87" s="86"/>
      <c r="K87" s="87"/>
      <c r="L87" s="87"/>
      <c r="M87" s="86"/>
      <c r="N87" s="62"/>
    </row>
    <row r="88" spans="1:14" ht="17.25" customHeight="1" x14ac:dyDescent="0.25">
      <c r="A88" s="21">
        <v>45231</v>
      </c>
      <c r="B88" s="22" t="s">
        <v>2041</v>
      </c>
      <c r="C88" s="22" t="s">
        <v>2042</v>
      </c>
      <c r="D88" s="22" t="s">
        <v>2043</v>
      </c>
      <c r="E88" s="22" t="s">
        <v>2044</v>
      </c>
      <c r="F88" s="22" t="s">
        <v>2029</v>
      </c>
      <c r="G88" s="24">
        <v>6491380</v>
      </c>
      <c r="H88" s="24">
        <f>G88*11%-1</f>
        <v>714050.8</v>
      </c>
      <c r="I88" s="25">
        <v>45292</v>
      </c>
      <c r="J88" s="109">
        <f>G88</f>
        <v>6491380</v>
      </c>
      <c r="K88" s="26"/>
      <c r="L88" s="26"/>
      <c r="M88" s="101"/>
      <c r="N88" s="62">
        <f>J88*2%</f>
        <v>129827.6</v>
      </c>
    </row>
    <row r="89" spans="1:14" ht="17.25" customHeight="1" x14ac:dyDescent="0.25">
      <c r="A89" s="84"/>
      <c r="B89" s="42"/>
      <c r="C89" s="42"/>
      <c r="D89" s="42"/>
      <c r="E89" s="42"/>
      <c r="F89" s="42"/>
      <c r="G89" s="43"/>
      <c r="H89" s="43"/>
      <c r="I89" s="85"/>
      <c r="J89" s="110"/>
      <c r="K89" s="87"/>
      <c r="L89" s="87"/>
      <c r="M89" s="86"/>
      <c r="N89" s="62"/>
    </row>
    <row r="90" spans="1:14" ht="17.25" customHeight="1" x14ac:dyDescent="0.25">
      <c r="A90" s="48">
        <v>45089</v>
      </c>
      <c r="B90" s="49" t="s">
        <v>2045</v>
      </c>
      <c r="C90" s="49" t="s">
        <v>2046</v>
      </c>
      <c r="D90" s="22" t="s">
        <v>1998</v>
      </c>
      <c r="E90" s="22" t="s">
        <v>2047</v>
      </c>
      <c r="F90" s="22" t="s">
        <v>2048</v>
      </c>
      <c r="G90" s="24">
        <v>2411700</v>
      </c>
      <c r="H90" s="24">
        <f>G90*11%</f>
        <v>265287</v>
      </c>
      <c r="I90" s="25">
        <v>45302</v>
      </c>
      <c r="J90" s="109"/>
      <c r="K90" s="26" t="s">
        <v>2049</v>
      </c>
      <c r="L90" s="26"/>
      <c r="M90" s="101"/>
      <c r="N90" s="62"/>
    </row>
    <row r="91" spans="1:14" ht="17.25" customHeight="1" x14ac:dyDescent="0.25">
      <c r="A91" s="29">
        <v>45226</v>
      </c>
      <c r="B91" s="30" t="s">
        <v>2050</v>
      </c>
      <c r="C91" s="30" t="s">
        <v>2051</v>
      </c>
      <c r="D91" s="30" t="s">
        <v>1998</v>
      </c>
      <c r="E91" s="30" t="s">
        <v>2052</v>
      </c>
      <c r="F91" s="30" t="s">
        <v>1920</v>
      </c>
      <c r="G91" s="32">
        <v>14880000</v>
      </c>
      <c r="H91" s="32">
        <f>G91*11%</f>
        <v>1636800</v>
      </c>
      <c r="I91" s="33"/>
      <c r="J91" s="111"/>
      <c r="K91" s="34"/>
      <c r="L91" s="34"/>
      <c r="M91" s="112"/>
      <c r="N91" s="62"/>
    </row>
    <row r="92" spans="1:14" ht="17.25" customHeight="1" x14ac:dyDescent="0.25">
      <c r="A92" s="48">
        <v>45231</v>
      </c>
      <c r="B92" s="49" t="s">
        <v>2053</v>
      </c>
      <c r="C92" s="49" t="s">
        <v>2054</v>
      </c>
      <c r="D92" s="22" t="s">
        <v>1998</v>
      </c>
      <c r="E92" s="22" t="s">
        <v>2055</v>
      </c>
      <c r="F92" s="22" t="s">
        <v>1859</v>
      </c>
      <c r="G92" s="24">
        <v>17255800</v>
      </c>
      <c r="H92" s="24">
        <f>G92*11%</f>
        <v>1898138</v>
      </c>
      <c r="I92" s="113">
        <f>SUM(G92:H92)</f>
        <v>19153938</v>
      </c>
      <c r="J92" s="109"/>
      <c r="K92" s="26" t="s">
        <v>2049</v>
      </c>
      <c r="L92" s="26"/>
      <c r="M92" s="101"/>
      <c r="N92" s="62"/>
    </row>
    <row r="93" spans="1:14" ht="17.25" customHeight="1" x14ac:dyDescent="0.25">
      <c r="A93" s="88"/>
      <c r="B93" s="89"/>
      <c r="C93" s="89"/>
      <c r="D93" s="42"/>
      <c r="E93" s="42"/>
      <c r="F93" s="42"/>
      <c r="G93" s="43"/>
      <c r="H93" s="43"/>
      <c r="I93" s="85"/>
      <c r="J93" s="86"/>
      <c r="K93" s="87"/>
      <c r="L93" s="87"/>
      <c r="M93" s="86"/>
      <c r="N93" s="62">
        <f>J93*2%</f>
        <v>0</v>
      </c>
    </row>
    <row r="94" spans="1:14" ht="17.25" customHeight="1" x14ac:dyDescent="0.25">
      <c r="A94" s="21">
        <v>45231</v>
      </c>
      <c r="B94" s="22" t="s">
        <v>2056</v>
      </c>
      <c r="C94" s="22" t="s">
        <v>2057</v>
      </c>
      <c r="D94" s="22" t="s">
        <v>1998</v>
      </c>
      <c r="E94" s="22" t="s">
        <v>2058</v>
      </c>
      <c r="F94" s="22" t="s">
        <v>2059</v>
      </c>
      <c r="G94" s="24">
        <v>15546000</v>
      </c>
      <c r="H94" s="24">
        <f>G94*11%</f>
        <v>1710060</v>
      </c>
      <c r="I94" s="25">
        <v>45314</v>
      </c>
      <c r="J94" s="101"/>
      <c r="K94" s="26" t="s">
        <v>2049</v>
      </c>
      <c r="L94" s="26"/>
      <c r="M94" s="101"/>
      <c r="N94" s="62"/>
    </row>
    <row r="95" spans="1:14" ht="17.25" customHeight="1" x14ac:dyDescent="0.25">
      <c r="A95" s="114"/>
      <c r="B95" s="115"/>
      <c r="C95" s="115"/>
      <c r="D95" s="116"/>
      <c r="E95" s="116"/>
      <c r="F95" s="116"/>
      <c r="G95" s="61"/>
      <c r="H95" s="61"/>
      <c r="I95" s="85"/>
      <c r="J95" s="86"/>
      <c r="K95" s="87"/>
      <c r="L95" s="87"/>
      <c r="M95" s="86"/>
      <c r="N95" s="62"/>
    </row>
    <row r="96" spans="1:14" ht="17.25" customHeight="1" x14ac:dyDescent="0.25">
      <c r="A96" s="48">
        <v>45231</v>
      </c>
      <c r="B96" s="49" t="s">
        <v>2060</v>
      </c>
      <c r="C96" s="49" t="s">
        <v>2061</v>
      </c>
      <c r="D96" s="22" t="s">
        <v>1998</v>
      </c>
      <c r="E96" s="22" t="s">
        <v>2062</v>
      </c>
      <c r="F96" s="22" t="s">
        <v>2063</v>
      </c>
      <c r="G96" s="24">
        <v>15613200</v>
      </c>
      <c r="H96" s="24">
        <f>G96*11%</f>
        <v>1717452</v>
      </c>
      <c r="I96" s="25">
        <v>45306</v>
      </c>
      <c r="J96" s="101"/>
      <c r="K96" s="26" t="s">
        <v>2049</v>
      </c>
      <c r="L96" s="26"/>
      <c r="M96" s="101"/>
      <c r="N96" s="62"/>
    </row>
    <row r="97" spans="1:14" ht="17.25" customHeight="1" x14ac:dyDescent="0.25">
      <c r="A97" s="48">
        <v>45231</v>
      </c>
      <c r="B97" s="49" t="s">
        <v>2064</v>
      </c>
      <c r="C97" s="49" t="s">
        <v>2065</v>
      </c>
      <c r="D97" s="22" t="s">
        <v>1998</v>
      </c>
      <c r="E97" s="22" t="s">
        <v>2066</v>
      </c>
      <c r="F97" s="22" t="s">
        <v>2048</v>
      </c>
      <c r="G97" s="24">
        <v>29084400</v>
      </c>
      <c r="H97" s="24">
        <f>G97*11%</f>
        <v>3199284</v>
      </c>
      <c r="I97" s="25"/>
      <c r="J97" s="101"/>
      <c r="K97" s="26" t="s">
        <v>2049</v>
      </c>
      <c r="L97" s="26"/>
      <c r="M97" s="101"/>
      <c r="N97" s="62"/>
    </row>
    <row r="98" spans="1:14" ht="17.25" customHeight="1" x14ac:dyDescent="0.25">
      <c r="A98" s="48">
        <v>45231</v>
      </c>
      <c r="B98" s="49" t="s">
        <v>2067</v>
      </c>
      <c r="C98" s="49" t="s">
        <v>2068</v>
      </c>
      <c r="D98" s="22" t="s">
        <v>1998</v>
      </c>
      <c r="E98" s="22" t="s">
        <v>2069</v>
      </c>
      <c r="F98" s="22" t="s">
        <v>1984</v>
      </c>
      <c r="G98" s="24">
        <v>28124000</v>
      </c>
      <c r="H98" s="24">
        <f>G98*11%</f>
        <v>3093640</v>
      </c>
      <c r="I98" s="25"/>
      <c r="J98" s="101"/>
      <c r="K98" s="26" t="s">
        <v>2049</v>
      </c>
      <c r="L98" s="26"/>
      <c r="M98" s="101"/>
      <c r="N98" s="62"/>
    </row>
    <row r="99" spans="1:14" ht="17.25" customHeight="1" x14ac:dyDescent="0.25">
      <c r="A99" s="88"/>
      <c r="B99" s="89"/>
      <c r="C99" s="89"/>
      <c r="D99" s="42"/>
      <c r="E99" s="42"/>
      <c r="F99" s="42"/>
      <c r="G99" s="43"/>
      <c r="H99" s="43"/>
      <c r="I99" s="85"/>
      <c r="J99" s="86"/>
      <c r="K99" s="87"/>
      <c r="L99" s="87"/>
      <c r="M99" s="86"/>
      <c r="N99" s="62"/>
    </row>
    <row r="100" spans="1:14" ht="17.25" customHeight="1" x14ac:dyDescent="0.25">
      <c r="A100" s="21">
        <v>45231</v>
      </c>
      <c r="B100" s="22" t="s">
        <v>2070</v>
      </c>
      <c r="C100" s="22" t="s">
        <v>2071</v>
      </c>
      <c r="D100" s="22" t="s">
        <v>1936</v>
      </c>
      <c r="E100" s="22" t="s">
        <v>2072</v>
      </c>
      <c r="F100" s="22" t="s">
        <v>1933</v>
      </c>
      <c r="G100" s="24">
        <v>134358500</v>
      </c>
      <c r="H100" s="24">
        <f>G100*11%</f>
        <v>14779435</v>
      </c>
      <c r="I100" s="25">
        <v>45296</v>
      </c>
      <c r="J100" s="101"/>
      <c r="K100" s="26"/>
      <c r="L100" s="26"/>
      <c r="M100" s="101"/>
      <c r="N100" s="62">
        <f t="shared" ref="N100:N112" si="3">J100*2%</f>
        <v>0</v>
      </c>
    </row>
    <row r="101" spans="1:14" ht="17.25" customHeight="1" x14ac:dyDescent="0.25">
      <c r="A101" s="88"/>
      <c r="B101" s="89"/>
      <c r="C101" s="89"/>
      <c r="D101" s="42"/>
      <c r="E101" s="42"/>
      <c r="F101" s="42"/>
      <c r="G101" s="43"/>
      <c r="H101" s="43"/>
      <c r="I101" s="85"/>
      <c r="J101" s="86"/>
      <c r="K101" s="87"/>
      <c r="L101" s="87"/>
      <c r="M101" s="86"/>
      <c r="N101" s="62">
        <f t="shared" si="3"/>
        <v>0</v>
      </c>
    </row>
    <row r="102" spans="1:14" ht="17.25" customHeight="1" x14ac:dyDescent="0.25">
      <c r="A102" s="88">
        <v>45234</v>
      </c>
      <c r="B102" s="89" t="s">
        <v>2073</v>
      </c>
      <c r="C102" s="89" t="s">
        <v>2074</v>
      </c>
      <c r="D102" s="42" t="s">
        <v>2075</v>
      </c>
      <c r="E102" s="42" t="s">
        <v>2076</v>
      </c>
      <c r="F102" s="42" t="s">
        <v>2077</v>
      </c>
      <c r="G102" s="43">
        <v>205000</v>
      </c>
      <c r="H102" s="43">
        <f>G102*11%</f>
        <v>22550</v>
      </c>
      <c r="I102" s="85"/>
      <c r="J102" s="86"/>
      <c r="K102" s="87"/>
      <c r="L102" s="87"/>
      <c r="M102" s="86"/>
      <c r="N102" s="62">
        <f t="shared" si="3"/>
        <v>0</v>
      </c>
    </row>
    <row r="103" spans="1:14" ht="17.25" customHeight="1" x14ac:dyDescent="0.25">
      <c r="A103" s="88"/>
      <c r="B103" s="89"/>
      <c r="C103" s="89"/>
      <c r="D103" s="42"/>
      <c r="E103" s="42"/>
      <c r="F103" s="42"/>
      <c r="G103" s="43"/>
      <c r="H103" s="43"/>
      <c r="I103" s="85"/>
      <c r="J103" s="86"/>
      <c r="K103" s="87"/>
      <c r="L103" s="87"/>
      <c r="M103" s="86"/>
      <c r="N103" s="62">
        <f t="shared" si="3"/>
        <v>0</v>
      </c>
    </row>
    <row r="104" spans="1:14" ht="17.25" customHeight="1" x14ac:dyDescent="0.25">
      <c r="A104" s="88">
        <v>45239</v>
      </c>
      <c r="B104" s="89" t="s">
        <v>2078</v>
      </c>
      <c r="C104" s="89" t="s">
        <v>2079</v>
      </c>
      <c r="D104" s="42" t="s">
        <v>1998</v>
      </c>
      <c r="E104" s="42" t="s">
        <v>2080</v>
      </c>
      <c r="F104" s="42" t="s">
        <v>2081</v>
      </c>
      <c r="G104" s="43">
        <v>233310</v>
      </c>
      <c r="H104" s="43">
        <f>G104*11%</f>
        <v>25664.1</v>
      </c>
      <c r="I104" s="85"/>
      <c r="J104" s="86"/>
      <c r="K104" s="87"/>
      <c r="L104" s="87"/>
      <c r="M104" s="86"/>
      <c r="N104" s="62">
        <f t="shared" si="3"/>
        <v>0</v>
      </c>
    </row>
    <row r="105" spans="1:14" ht="17.25" customHeight="1" x14ac:dyDescent="0.25">
      <c r="A105" s="88">
        <v>45239</v>
      </c>
      <c r="B105" s="89" t="s">
        <v>2082</v>
      </c>
      <c r="C105" s="89" t="s">
        <v>2083</v>
      </c>
      <c r="D105" s="42" t="s">
        <v>1998</v>
      </c>
      <c r="E105" s="42" t="s">
        <v>2084</v>
      </c>
      <c r="F105" s="42" t="s">
        <v>2085</v>
      </c>
      <c r="G105" s="43">
        <v>4278686</v>
      </c>
      <c r="H105" s="43">
        <f>G105*11%</f>
        <v>470655.46</v>
      </c>
      <c r="I105" s="85"/>
      <c r="J105" s="86"/>
      <c r="K105" s="87"/>
      <c r="L105" s="87"/>
      <c r="M105" s="86"/>
      <c r="N105" s="62">
        <f t="shared" si="3"/>
        <v>0</v>
      </c>
    </row>
    <row r="106" spans="1:14" ht="17.25" customHeight="1" x14ac:dyDescent="0.25">
      <c r="A106" s="88">
        <v>45239</v>
      </c>
      <c r="B106" s="89" t="s">
        <v>2086</v>
      </c>
      <c r="C106" s="89" t="s">
        <v>2087</v>
      </c>
      <c r="D106" s="42" t="s">
        <v>1998</v>
      </c>
      <c r="E106" s="42" t="s">
        <v>2088</v>
      </c>
      <c r="F106" s="42" t="s">
        <v>2085</v>
      </c>
      <c r="G106" s="43">
        <v>1922636</v>
      </c>
      <c r="H106" s="43">
        <f>G106*11%</f>
        <v>211489.96</v>
      </c>
      <c r="I106" s="85"/>
      <c r="J106" s="86"/>
      <c r="K106" s="87"/>
      <c r="L106" s="87"/>
      <c r="M106" s="86"/>
      <c r="N106" s="62">
        <f t="shared" si="3"/>
        <v>0</v>
      </c>
    </row>
    <row r="107" spans="1:14" ht="17.25" customHeight="1" x14ac:dyDescent="0.25">
      <c r="A107" s="88">
        <v>45239</v>
      </c>
      <c r="B107" s="89" t="s">
        <v>2089</v>
      </c>
      <c r="C107" s="89" t="s">
        <v>2090</v>
      </c>
      <c r="D107" s="42" t="s">
        <v>1998</v>
      </c>
      <c r="E107" s="42" t="s">
        <v>2091</v>
      </c>
      <c r="F107" s="42" t="s">
        <v>2092</v>
      </c>
      <c r="G107" s="43">
        <v>1188000</v>
      </c>
      <c r="H107" s="43">
        <f>G107*11%</f>
        <v>130680</v>
      </c>
      <c r="I107" s="85"/>
      <c r="J107" s="86"/>
      <c r="K107" s="87"/>
      <c r="L107" s="87"/>
      <c r="M107" s="86"/>
      <c r="N107" s="62">
        <f t="shared" si="3"/>
        <v>0</v>
      </c>
    </row>
    <row r="108" spans="1:14" ht="17.25" customHeight="1" x14ac:dyDescent="0.25">
      <c r="A108" s="88">
        <v>45239</v>
      </c>
      <c r="B108" s="89" t="s">
        <v>2093</v>
      </c>
      <c r="C108" s="89" t="s">
        <v>2094</v>
      </c>
      <c r="D108" s="42" t="s">
        <v>1998</v>
      </c>
      <c r="E108" s="42" t="s">
        <v>2095</v>
      </c>
      <c r="F108" s="42" t="s">
        <v>2096</v>
      </c>
      <c r="G108" s="43">
        <v>3900387</v>
      </c>
      <c r="H108" s="43">
        <f>G108*11%-1</f>
        <v>429041.57</v>
      </c>
      <c r="I108" s="85"/>
      <c r="J108" s="86"/>
      <c r="K108" s="87"/>
      <c r="L108" s="87"/>
      <c r="M108" s="86"/>
      <c r="N108" s="62">
        <f t="shared" si="3"/>
        <v>0</v>
      </c>
    </row>
    <row r="109" spans="1:14" ht="17.25" customHeight="1" x14ac:dyDescent="0.25">
      <c r="A109" s="88">
        <v>45239</v>
      </c>
      <c r="B109" s="89" t="s">
        <v>2097</v>
      </c>
      <c r="C109" s="89" t="s">
        <v>2098</v>
      </c>
      <c r="D109" s="42" t="s">
        <v>1998</v>
      </c>
      <c r="E109" s="42" t="s">
        <v>2099</v>
      </c>
      <c r="F109" s="42" t="s">
        <v>2100</v>
      </c>
      <c r="G109" s="43">
        <v>442260</v>
      </c>
      <c r="H109" s="43">
        <f>G109*11%</f>
        <v>48648.6</v>
      </c>
      <c r="I109" s="85"/>
      <c r="J109" s="86"/>
      <c r="K109" s="87"/>
      <c r="L109" s="87"/>
      <c r="M109" s="86"/>
      <c r="N109" s="62">
        <f t="shared" si="3"/>
        <v>0</v>
      </c>
    </row>
    <row r="110" spans="1:14" ht="17.25" customHeight="1" x14ac:dyDescent="0.25">
      <c r="A110" s="88">
        <v>45239</v>
      </c>
      <c r="B110" s="89" t="s">
        <v>2101</v>
      </c>
      <c r="C110" s="89" t="s">
        <v>2102</v>
      </c>
      <c r="D110" s="42" t="s">
        <v>1998</v>
      </c>
      <c r="E110" s="42" t="s">
        <v>2103</v>
      </c>
      <c r="F110" s="42" t="s">
        <v>2104</v>
      </c>
      <c r="G110" s="43">
        <v>2066544</v>
      </c>
      <c r="H110" s="43">
        <f>G110*11%</f>
        <v>227319.84</v>
      </c>
      <c r="I110" s="85"/>
      <c r="J110" s="86"/>
      <c r="K110" s="87"/>
      <c r="L110" s="87"/>
      <c r="M110" s="86"/>
      <c r="N110" s="62">
        <f t="shared" si="3"/>
        <v>0</v>
      </c>
    </row>
    <row r="111" spans="1:14" ht="17.25" customHeight="1" x14ac:dyDescent="0.25">
      <c r="A111" s="88">
        <v>45239</v>
      </c>
      <c r="B111" s="89" t="s">
        <v>2105</v>
      </c>
      <c r="C111" s="89" t="s">
        <v>2106</v>
      </c>
      <c r="D111" s="42" t="s">
        <v>1998</v>
      </c>
      <c r="E111" s="42" t="s">
        <v>2107</v>
      </c>
      <c r="F111" s="42" t="s">
        <v>2108</v>
      </c>
      <c r="G111" s="43">
        <v>375830</v>
      </c>
      <c r="H111" s="43">
        <f>G111*11%</f>
        <v>41341.300000000003</v>
      </c>
      <c r="I111" s="85"/>
      <c r="J111" s="86"/>
      <c r="K111" s="87"/>
      <c r="L111" s="87"/>
      <c r="M111" s="86"/>
      <c r="N111" s="62">
        <f t="shared" si="3"/>
        <v>0</v>
      </c>
    </row>
    <row r="112" spans="1:14" ht="17.25" customHeight="1" x14ac:dyDescent="0.25">
      <c r="A112" s="88"/>
      <c r="B112" s="89"/>
      <c r="C112" s="89"/>
      <c r="D112" s="42"/>
      <c r="E112" s="42"/>
      <c r="F112" s="42"/>
      <c r="G112" s="43"/>
      <c r="H112" s="43"/>
      <c r="I112" s="85"/>
      <c r="J112" s="86"/>
      <c r="K112" s="87"/>
      <c r="L112" s="87"/>
      <c r="M112" s="86"/>
      <c r="N112" s="62">
        <f t="shared" si="3"/>
        <v>0</v>
      </c>
    </row>
    <row r="113" spans="1:14" ht="17.25" customHeight="1" x14ac:dyDescent="0.25">
      <c r="A113" s="48">
        <v>45243</v>
      </c>
      <c r="B113" s="49" t="s">
        <v>2109</v>
      </c>
      <c r="C113" s="49" t="s">
        <v>2110</v>
      </c>
      <c r="D113" s="22" t="s">
        <v>1892</v>
      </c>
      <c r="E113" s="22" t="s">
        <v>2111</v>
      </c>
      <c r="F113" s="22" t="s">
        <v>1966</v>
      </c>
      <c r="G113" s="24">
        <v>148420683</v>
      </c>
      <c r="H113" s="24">
        <f>G113*11%</f>
        <v>16326275.130000001</v>
      </c>
      <c r="I113" s="25">
        <v>45296</v>
      </c>
      <c r="J113" s="101"/>
      <c r="K113" s="26"/>
      <c r="L113" s="26"/>
      <c r="M113" s="101"/>
      <c r="N113" s="62"/>
    </row>
    <row r="114" spans="1:14" ht="17.25" customHeight="1" x14ac:dyDescent="0.25">
      <c r="A114" s="48">
        <v>45243</v>
      </c>
      <c r="B114" s="49" t="s">
        <v>2112</v>
      </c>
      <c r="C114" s="49" t="s">
        <v>2113</v>
      </c>
      <c r="D114" s="22" t="s">
        <v>1892</v>
      </c>
      <c r="E114" s="22" t="s">
        <v>1893</v>
      </c>
      <c r="F114" s="22" t="s">
        <v>2114</v>
      </c>
      <c r="G114" s="24">
        <v>2437117</v>
      </c>
      <c r="H114" s="24">
        <f>G114*11%-1</f>
        <v>268081.87</v>
      </c>
      <c r="I114" s="25">
        <v>45296</v>
      </c>
      <c r="J114" s="101"/>
      <c r="K114" s="26"/>
      <c r="L114" s="26"/>
      <c r="M114" s="101"/>
      <c r="N114" s="62"/>
    </row>
    <row r="115" spans="1:14" ht="17.25" customHeight="1" x14ac:dyDescent="0.25">
      <c r="A115" s="48">
        <v>45243</v>
      </c>
      <c r="B115" s="117" t="s">
        <v>2115</v>
      </c>
      <c r="C115" s="117" t="s">
        <v>2116</v>
      </c>
      <c r="D115" s="118" t="s">
        <v>1892</v>
      </c>
      <c r="E115" s="118" t="s">
        <v>2117</v>
      </c>
      <c r="F115" s="118" t="s">
        <v>2118</v>
      </c>
      <c r="G115" s="119">
        <v>4751832</v>
      </c>
      <c r="H115" s="119">
        <v>522701</v>
      </c>
      <c r="I115" s="25">
        <v>45296</v>
      </c>
      <c r="J115" s="101"/>
      <c r="K115" s="26"/>
      <c r="L115" s="26"/>
      <c r="M115" s="101"/>
      <c r="N115" s="62"/>
    </row>
    <row r="116" spans="1:14" ht="17.25" customHeight="1" x14ac:dyDescent="0.25">
      <c r="A116" s="88"/>
      <c r="B116" s="89"/>
      <c r="C116" s="89"/>
      <c r="D116" s="42"/>
      <c r="E116" s="42"/>
      <c r="F116" s="42"/>
      <c r="G116" s="43"/>
      <c r="H116" s="43"/>
      <c r="I116" s="85"/>
      <c r="J116" s="86"/>
      <c r="K116" s="87"/>
      <c r="L116" s="87"/>
      <c r="M116" s="86"/>
      <c r="N116" s="62"/>
    </row>
    <row r="117" spans="1:14" ht="17.25" customHeight="1" x14ac:dyDescent="0.25">
      <c r="A117" s="88">
        <v>45243</v>
      </c>
      <c r="B117" s="89" t="s">
        <v>2119</v>
      </c>
      <c r="C117" s="89" t="s">
        <v>2120</v>
      </c>
      <c r="D117" s="42" t="s">
        <v>2075</v>
      </c>
      <c r="E117" s="42" t="s">
        <v>2121</v>
      </c>
      <c r="F117" s="42" t="s">
        <v>2114</v>
      </c>
      <c r="G117" s="43">
        <v>1176452</v>
      </c>
      <c r="H117" s="43">
        <f>G117*11%</f>
        <v>129409.72</v>
      </c>
      <c r="I117" s="85"/>
      <c r="J117" s="86"/>
      <c r="K117" s="87"/>
      <c r="L117" s="87"/>
      <c r="M117" s="86"/>
      <c r="N117" s="62">
        <f>J117*2%</f>
        <v>0</v>
      </c>
    </row>
    <row r="118" spans="1:14" ht="17.25" customHeight="1" x14ac:dyDescent="0.25">
      <c r="A118" s="88"/>
      <c r="B118" s="89"/>
      <c r="C118" s="89"/>
      <c r="D118" s="42"/>
      <c r="E118" s="42"/>
      <c r="F118" s="42"/>
      <c r="G118" s="43"/>
      <c r="H118" s="43"/>
      <c r="I118" s="85"/>
      <c r="J118" s="86"/>
      <c r="K118" s="87"/>
      <c r="L118" s="87"/>
      <c r="M118" s="86"/>
      <c r="N118" s="62"/>
    </row>
    <row r="119" spans="1:14" ht="17.25" customHeight="1" x14ac:dyDescent="0.25">
      <c r="A119" s="21">
        <v>45243</v>
      </c>
      <c r="B119" s="22" t="s">
        <v>2122</v>
      </c>
      <c r="C119" s="22" t="s">
        <v>2123</v>
      </c>
      <c r="D119" s="22" t="s">
        <v>2124</v>
      </c>
      <c r="E119" s="22" t="s">
        <v>2125</v>
      </c>
      <c r="F119" s="22" t="s">
        <v>1938</v>
      </c>
      <c r="G119" s="24">
        <v>150000</v>
      </c>
      <c r="H119" s="24"/>
      <c r="I119" s="25">
        <v>45310</v>
      </c>
      <c r="J119" s="101"/>
      <c r="K119" s="26"/>
      <c r="L119" s="26"/>
      <c r="M119" s="101"/>
      <c r="N119" s="62">
        <f t="shared" ref="N119:N127" si="4">J119*2%</f>
        <v>0</v>
      </c>
    </row>
    <row r="120" spans="1:14" ht="17.25" customHeight="1" x14ac:dyDescent="0.25">
      <c r="A120" s="21">
        <v>45243</v>
      </c>
      <c r="B120" s="22" t="s">
        <v>2126</v>
      </c>
      <c r="C120" s="22" t="s">
        <v>2127</v>
      </c>
      <c r="D120" s="22" t="s">
        <v>2124</v>
      </c>
      <c r="E120" s="22" t="s">
        <v>2125</v>
      </c>
      <c r="F120" s="22" t="s">
        <v>1979</v>
      </c>
      <c r="G120" s="24">
        <v>150000</v>
      </c>
      <c r="H120" s="24"/>
      <c r="I120" s="25"/>
      <c r="J120" s="101"/>
      <c r="K120" s="26"/>
      <c r="L120" s="26"/>
      <c r="M120" s="101"/>
      <c r="N120" s="62">
        <f t="shared" si="4"/>
        <v>0</v>
      </c>
    </row>
    <row r="121" spans="1:14" ht="17.25" customHeight="1" x14ac:dyDescent="0.25">
      <c r="A121" s="21">
        <v>45243</v>
      </c>
      <c r="B121" s="22" t="s">
        <v>2128</v>
      </c>
      <c r="C121" s="22" t="s">
        <v>2129</v>
      </c>
      <c r="D121" s="22" t="s">
        <v>2124</v>
      </c>
      <c r="E121" s="22" t="s">
        <v>2125</v>
      </c>
      <c r="F121" s="22" t="s">
        <v>2130</v>
      </c>
      <c r="G121" s="24">
        <v>150000</v>
      </c>
      <c r="H121" s="24"/>
      <c r="I121" s="25"/>
      <c r="J121" s="101"/>
      <c r="K121" s="26"/>
      <c r="L121" s="26"/>
      <c r="M121" s="101"/>
      <c r="N121" s="62">
        <f t="shared" si="4"/>
        <v>0</v>
      </c>
    </row>
    <row r="122" spans="1:14" ht="17.25" customHeight="1" x14ac:dyDescent="0.25">
      <c r="A122" s="120"/>
      <c r="B122" s="121"/>
      <c r="C122" s="121"/>
      <c r="D122" s="122"/>
      <c r="E122" s="122"/>
      <c r="F122" s="122"/>
      <c r="G122" s="123"/>
      <c r="H122" s="123"/>
      <c r="I122" s="85"/>
      <c r="J122" s="86"/>
      <c r="K122" s="87"/>
      <c r="L122" s="87"/>
      <c r="M122" s="86"/>
      <c r="N122" s="62">
        <f t="shared" si="4"/>
        <v>0</v>
      </c>
    </row>
    <row r="123" spans="1:14" ht="17.25" customHeight="1" x14ac:dyDescent="0.25">
      <c r="A123" s="88">
        <v>45243</v>
      </c>
      <c r="B123" s="89" t="s">
        <v>2131</v>
      </c>
      <c r="C123" s="89" t="s">
        <v>2132</v>
      </c>
      <c r="D123" s="42" t="s">
        <v>1853</v>
      </c>
      <c r="E123" s="42" t="s">
        <v>2133</v>
      </c>
      <c r="F123" s="42" t="s">
        <v>2134</v>
      </c>
      <c r="G123" s="43">
        <v>3822000</v>
      </c>
      <c r="H123" s="43">
        <f>G123*11%</f>
        <v>420420</v>
      </c>
      <c r="I123" s="85"/>
      <c r="J123" s="86"/>
      <c r="K123" s="87"/>
      <c r="L123" s="87"/>
      <c r="M123" s="86"/>
      <c r="N123" s="62">
        <f t="shared" si="4"/>
        <v>0</v>
      </c>
    </row>
    <row r="124" spans="1:14" ht="17.25" customHeight="1" x14ac:dyDescent="0.25">
      <c r="A124" s="88"/>
      <c r="B124" s="89"/>
      <c r="C124" s="89"/>
      <c r="D124" s="42"/>
      <c r="E124" s="42"/>
      <c r="F124" s="42"/>
      <c r="G124" s="43"/>
      <c r="H124" s="43"/>
      <c r="I124" s="85"/>
      <c r="J124" s="86"/>
      <c r="K124" s="87"/>
      <c r="L124" s="87"/>
      <c r="M124" s="86"/>
      <c r="N124" s="62">
        <f t="shared" si="4"/>
        <v>0</v>
      </c>
    </row>
    <row r="125" spans="1:14" ht="17.25" customHeight="1" x14ac:dyDescent="0.25">
      <c r="A125" s="21">
        <v>45244</v>
      </c>
      <c r="B125" s="22" t="s">
        <v>2135</v>
      </c>
      <c r="C125" s="22" t="s">
        <v>2136</v>
      </c>
      <c r="D125" s="22" t="s">
        <v>1936</v>
      </c>
      <c r="E125" s="22" t="s">
        <v>2137</v>
      </c>
      <c r="F125" s="22" t="s">
        <v>2138</v>
      </c>
      <c r="G125" s="24">
        <v>148100160</v>
      </c>
      <c r="H125" s="24">
        <f>G125*11%-1</f>
        <v>16291016.6</v>
      </c>
      <c r="I125" s="25">
        <v>45475</v>
      </c>
      <c r="J125" s="101"/>
      <c r="K125" s="26"/>
      <c r="L125" s="26"/>
      <c r="M125" s="101"/>
      <c r="N125" s="62">
        <f t="shared" si="4"/>
        <v>0</v>
      </c>
    </row>
    <row r="126" spans="1:14" ht="17.25" customHeight="1" x14ac:dyDescent="0.25">
      <c r="A126" s="88"/>
      <c r="B126" s="89"/>
      <c r="C126" s="89"/>
      <c r="D126" s="42"/>
      <c r="E126" s="42"/>
      <c r="F126" s="42"/>
      <c r="G126" s="43"/>
      <c r="H126" s="43"/>
      <c r="I126" s="85"/>
      <c r="J126" s="86"/>
      <c r="K126" s="87"/>
      <c r="L126" s="87"/>
      <c r="M126" s="86"/>
      <c r="N126" s="62">
        <f t="shared" si="4"/>
        <v>0</v>
      </c>
    </row>
    <row r="127" spans="1:14" ht="17.25" customHeight="1" x14ac:dyDescent="0.25">
      <c r="A127" s="88">
        <v>45245</v>
      </c>
      <c r="B127" s="89" t="s">
        <v>2139</v>
      </c>
      <c r="C127" s="89" t="s">
        <v>2140</v>
      </c>
      <c r="D127" s="42" t="s">
        <v>1936</v>
      </c>
      <c r="E127" s="42" t="s">
        <v>2141</v>
      </c>
      <c r="F127" s="42" t="s">
        <v>2130</v>
      </c>
      <c r="G127" s="43">
        <v>6081000</v>
      </c>
      <c r="H127" s="43">
        <f>G127*11%</f>
        <v>668910</v>
      </c>
      <c r="I127" s="85"/>
      <c r="J127" s="86"/>
      <c r="K127" s="87"/>
      <c r="L127" s="87"/>
      <c r="M127" s="86"/>
      <c r="N127" s="62">
        <f t="shared" si="4"/>
        <v>0</v>
      </c>
    </row>
    <row r="128" spans="1:14" ht="17.25" customHeight="1" x14ac:dyDescent="0.25">
      <c r="A128" s="88">
        <v>45245</v>
      </c>
      <c r="B128" s="89" t="s">
        <v>2142</v>
      </c>
      <c r="C128" s="89" t="s">
        <v>2143</v>
      </c>
      <c r="D128" s="42" t="s">
        <v>1936</v>
      </c>
      <c r="E128" s="42" t="s">
        <v>2141</v>
      </c>
      <c r="F128" s="42" t="s">
        <v>1933</v>
      </c>
      <c r="G128" s="43">
        <v>7156800</v>
      </c>
      <c r="H128" s="43">
        <f>G128*11%</f>
        <v>787248</v>
      </c>
      <c r="I128" s="85"/>
      <c r="J128" s="86"/>
      <c r="K128" s="87"/>
      <c r="L128" s="87"/>
      <c r="M128" s="86"/>
      <c r="N128" s="62"/>
    </row>
    <row r="129" spans="1:14" ht="17.25" customHeight="1" x14ac:dyDescent="0.25">
      <c r="A129" s="88"/>
      <c r="B129" s="89"/>
      <c r="C129" s="89"/>
      <c r="D129" s="42"/>
      <c r="E129" s="42"/>
      <c r="F129" s="42"/>
      <c r="G129" s="43"/>
      <c r="H129" s="43"/>
      <c r="I129" s="33">
        <v>45321</v>
      </c>
      <c r="J129" s="112"/>
      <c r="K129" s="34"/>
      <c r="L129" s="34"/>
      <c r="M129" s="112"/>
      <c r="N129" s="62">
        <f>J129*2%</f>
        <v>0</v>
      </c>
    </row>
    <row r="130" spans="1:14" ht="17.25" customHeight="1" x14ac:dyDescent="0.25">
      <c r="A130" s="29">
        <v>45246</v>
      </c>
      <c r="B130" s="30" t="s">
        <v>2144</v>
      </c>
      <c r="C130" s="30" t="s">
        <v>2145</v>
      </c>
      <c r="D130" s="30" t="s">
        <v>1998</v>
      </c>
      <c r="E130" s="30" t="s">
        <v>2146</v>
      </c>
      <c r="F130" s="30" t="s">
        <v>1920</v>
      </c>
      <c r="G130" s="32">
        <v>7000000</v>
      </c>
      <c r="H130" s="32">
        <f>G130*11%</f>
        <v>770000</v>
      </c>
      <c r="I130" s="85"/>
      <c r="J130" s="86"/>
      <c r="K130" s="87"/>
      <c r="L130" s="87"/>
      <c r="M130" s="86"/>
      <c r="N130" s="62">
        <f>J130*2%</f>
        <v>0</v>
      </c>
    </row>
    <row r="131" spans="1:14" ht="17.25" customHeight="1" x14ac:dyDescent="0.25">
      <c r="A131" s="93"/>
      <c r="B131" s="92"/>
      <c r="C131" s="92"/>
      <c r="D131" s="71"/>
      <c r="E131" s="71"/>
      <c r="F131" s="71"/>
      <c r="G131" s="72"/>
      <c r="H131" s="72"/>
      <c r="I131" s="25">
        <v>45310</v>
      </c>
      <c r="J131" s="101"/>
      <c r="K131" s="26"/>
      <c r="L131" s="26"/>
      <c r="M131" s="101"/>
      <c r="N131" s="62"/>
    </row>
    <row r="132" spans="1:14" ht="17.25" customHeight="1" x14ac:dyDescent="0.25">
      <c r="A132" s="48">
        <v>45247</v>
      </c>
      <c r="B132" s="49" t="s">
        <v>2147</v>
      </c>
      <c r="C132" s="49" t="s">
        <v>2148</v>
      </c>
      <c r="D132" s="22" t="s">
        <v>1892</v>
      </c>
      <c r="E132" s="22" t="s">
        <v>2149</v>
      </c>
      <c r="F132" s="22" t="s">
        <v>2150</v>
      </c>
      <c r="G132" s="24">
        <v>50100243</v>
      </c>
      <c r="H132" s="24">
        <f>G132*11%-1</f>
        <v>5511025.7300000004</v>
      </c>
      <c r="I132" s="25"/>
      <c r="J132" s="101"/>
      <c r="K132" s="26"/>
      <c r="L132" s="26"/>
      <c r="M132" s="101"/>
      <c r="N132" s="62"/>
    </row>
    <row r="133" spans="1:14" ht="17.25" customHeight="1" x14ac:dyDescent="0.25">
      <c r="A133" s="48">
        <v>45247</v>
      </c>
      <c r="B133" s="49" t="s">
        <v>2151</v>
      </c>
      <c r="C133" s="49" t="s">
        <v>2152</v>
      </c>
      <c r="D133" s="22" t="s">
        <v>1892</v>
      </c>
      <c r="E133" s="22" t="s">
        <v>2149</v>
      </c>
      <c r="F133" s="22" t="s">
        <v>2153</v>
      </c>
      <c r="G133" s="24">
        <v>10430376</v>
      </c>
      <c r="H133" s="24">
        <f>G133*11%</f>
        <v>1147341.3600000001</v>
      </c>
      <c r="I133" s="85"/>
      <c r="J133" s="86"/>
      <c r="K133" s="87"/>
      <c r="L133" s="87"/>
      <c r="M133" s="86"/>
      <c r="N133" s="62"/>
    </row>
    <row r="134" spans="1:14" ht="17.25" customHeight="1" x14ac:dyDescent="0.25">
      <c r="A134" s="93"/>
      <c r="B134" s="92"/>
      <c r="C134" s="92"/>
      <c r="D134" s="71"/>
      <c r="E134" s="71"/>
      <c r="F134" s="71"/>
      <c r="G134" s="72"/>
      <c r="H134" s="72"/>
      <c r="I134" s="85"/>
      <c r="J134" s="86"/>
      <c r="K134" s="87"/>
      <c r="L134" s="87"/>
      <c r="M134" s="86"/>
      <c r="N134" s="62">
        <f>J134*2%</f>
        <v>0</v>
      </c>
    </row>
    <row r="135" spans="1:14" ht="17.25" customHeight="1" x14ac:dyDescent="0.25">
      <c r="A135" s="93">
        <v>45247</v>
      </c>
      <c r="B135" s="92" t="s">
        <v>2154</v>
      </c>
      <c r="C135" s="92" t="s">
        <v>2155</v>
      </c>
      <c r="D135" s="71" t="s">
        <v>1918</v>
      </c>
      <c r="E135" s="71" t="s">
        <v>1919</v>
      </c>
      <c r="F135" s="71" t="s">
        <v>1920</v>
      </c>
      <c r="G135" s="72">
        <v>11000000</v>
      </c>
      <c r="H135" s="72">
        <f>G135*11%</f>
        <v>1210000</v>
      </c>
      <c r="I135" s="85"/>
      <c r="J135" s="86"/>
      <c r="K135" s="87"/>
      <c r="L135" s="87"/>
      <c r="M135" s="86"/>
      <c r="N135" s="62">
        <f>J135*2%</f>
        <v>0</v>
      </c>
    </row>
    <row r="136" spans="1:14" ht="17.25" customHeight="1" x14ac:dyDescent="0.25">
      <c r="A136" s="88">
        <v>45248</v>
      </c>
      <c r="B136" s="89" t="s">
        <v>2156</v>
      </c>
      <c r="C136" s="89" t="s">
        <v>2157</v>
      </c>
      <c r="D136" s="42" t="s">
        <v>2075</v>
      </c>
      <c r="E136" s="42" t="s">
        <v>2158</v>
      </c>
      <c r="F136" s="42" t="s">
        <v>2159</v>
      </c>
      <c r="G136" s="43">
        <v>4682900</v>
      </c>
      <c r="H136" s="43">
        <f>G136*11%</f>
        <v>515119</v>
      </c>
      <c r="I136" s="85"/>
      <c r="J136" s="86"/>
      <c r="K136" s="87"/>
      <c r="L136" s="87"/>
      <c r="M136" s="86"/>
      <c r="N136" s="62">
        <f>J136*2%</f>
        <v>0</v>
      </c>
    </row>
    <row r="137" spans="1:14" ht="17.25" customHeight="1" x14ac:dyDescent="0.25">
      <c r="A137" s="88">
        <v>45248</v>
      </c>
      <c r="B137" s="89" t="s">
        <v>2160</v>
      </c>
      <c r="C137" s="89" t="s">
        <v>2161</v>
      </c>
      <c r="D137" s="42" t="s">
        <v>2075</v>
      </c>
      <c r="E137" s="42" t="s">
        <v>2158</v>
      </c>
      <c r="F137" s="42" t="s">
        <v>2162</v>
      </c>
      <c r="G137" s="43">
        <v>4682900</v>
      </c>
      <c r="H137" s="43">
        <f>G137*11%</f>
        <v>515119</v>
      </c>
      <c r="I137" s="85"/>
      <c r="J137" s="86"/>
      <c r="K137" s="87"/>
      <c r="L137" s="87"/>
      <c r="M137" s="86"/>
      <c r="N137" s="62"/>
    </row>
    <row r="138" spans="1:14" ht="17.25" customHeight="1" x14ac:dyDescent="0.25">
      <c r="A138" s="88"/>
      <c r="B138" s="89"/>
      <c r="C138" s="89"/>
      <c r="D138" s="42"/>
      <c r="E138" s="42"/>
      <c r="F138" s="42"/>
      <c r="G138" s="43"/>
      <c r="H138" s="43"/>
      <c r="I138" s="105">
        <v>45302</v>
      </c>
      <c r="J138" s="106"/>
      <c r="K138" s="107"/>
      <c r="L138" s="107"/>
      <c r="M138" s="106"/>
      <c r="N138" s="62"/>
    </row>
    <row r="139" spans="1:14" ht="17.25" customHeight="1" x14ac:dyDescent="0.25">
      <c r="A139" s="102">
        <v>45208</v>
      </c>
      <c r="B139" s="103" t="s">
        <v>2163</v>
      </c>
      <c r="C139" s="103" t="s">
        <v>2164</v>
      </c>
      <c r="D139" s="103" t="s">
        <v>1969</v>
      </c>
      <c r="E139" s="103" t="s">
        <v>1970</v>
      </c>
      <c r="F139" s="103" t="s">
        <v>1859</v>
      </c>
      <c r="G139" s="104">
        <v>657875</v>
      </c>
      <c r="H139" s="104">
        <f>G139*11%</f>
        <v>72366.25</v>
      </c>
      <c r="I139" s="105"/>
      <c r="J139" s="106"/>
      <c r="K139" s="107"/>
      <c r="L139" s="107"/>
      <c r="M139" s="106"/>
      <c r="N139" s="62"/>
    </row>
    <row r="140" spans="1:14" ht="17.25" customHeight="1" x14ac:dyDescent="0.25">
      <c r="A140" s="102">
        <v>45208</v>
      </c>
      <c r="B140" s="103" t="s">
        <v>2165</v>
      </c>
      <c r="C140" s="103" t="s">
        <v>2166</v>
      </c>
      <c r="D140" s="103" t="s">
        <v>1969</v>
      </c>
      <c r="E140" s="103" t="s">
        <v>1970</v>
      </c>
      <c r="F140" s="103" t="s">
        <v>2063</v>
      </c>
      <c r="G140" s="104">
        <v>638875</v>
      </c>
      <c r="H140" s="104">
        <f>G140*11%</f>
        <v>70276.25</v>
      </c>
      <c r="I140" s="105"/>
      <c r="J140" s="106"/>
      <c r="K140" s="107"/>
      <c r="L140" s="107"/>
      <c r="M140" s="106"/>
      <c r="N140" s="62"/>
    </row>
    <row r="141" spans="1:14" ht="17.25" customHeight="1" x14ac:dyDescent="0.25">
      <c r="A141" s="102">
        <v>45208</v>
      </c>
      <c r="B141" s="103" t="s">
        <v>2167</v>
      </c>
      <c r="C141" s="103" t="s">
        <v>2168</v>
      </c>
      <c r="D141" s="103" t="s">
        <v>1969</v>
      </c>
      <c r="E141" s="103" t="s">
        <v>1970</v>
      </c>
      <c r="F141" s="103" t="s">
        <v>2048</v>
      </c>
      <c r="G141" s="104">
        <v>618266</v>
      </c>
      <c r="H141" s="104">
        <f>G141*11%</f>
        <v>68009.259999999995</v>
      </c>
      <c r="I141" s="105"/>
      <c r="J141" s="106"/>
      <c r="K141" s="107"/>
      <c r="L141" s="107"/>
      <c r="M141" s="106"/>
      <c r="N141" s="62">
        <f>J141*2%</f>
        <v>0</v>
      </c>
    </row>
    <row r="142" spans="1:14" ht="17.25" customHeight="1" x14ac:dyDescent="0.25">
      <c r="A142" s="102">
        <v>45248</v>
      </c>
      <c r="B142" s="103" t="s">
        <v>2169</v>
      </c>
      <c r="C142" s="103" t="s">
        <v>2170</v>
      </c>
      <c r="D142" s="103" t="s">
        <v>2075</v>
      </c>
      <c r="E142" s="103" t="s">
        <v>2171</v>
      </c>
      <c r="F142" s="103" t="s">
        <v>2172</v>
      </c>
      <c r="G142" s="104">
        <v>1078161</v>
      </c>
      <c r="H142" s="104">
        <f>G142*11%-1</f>
        <v>118596.71</v>
      </c>
      <c r="I142" s="105"/>
      <c r="J142" s="106"/>
      <c r="K142" s="107"/>
      <c r="L142" s="107"/>
      <c r="M142" s="106"/>
      <c r="N142" s="62">
        <f>J142*2%</f>
        <v>0</v>
      </c>
    </row>
    <row r="143" spans="1:14" ht="17.25" customHeight="1" x14ac:dyDescent="0.25">
      <c r="A143" s="102">
        <v>45248</v>
      </c>
      <c r="B143" s="103" t="s">
        <v>2173</v>
      </c>
      <c r="C143" s="103" t="s">
        <v>2174</v>
      </c>
      <c r="D143" s="103" t="s">
        <v>2075</v>
      </c>
      <c r="E143" s="103" t="s">
        <v>2171</v>
      </c>
      <c r="F143" s="103" t="s">
        <v>2175</v>
      </c>
      <c r="G143" s="104">
        <v>3009774</v>
      </c>
      <c r="H143" s="104">
        <f>G143*11%</f>
        <v>331075.14</v>
      </c>
      <c r="I143" s="105"/>
      <c r="J143" s="106"/>
      <c r="K143" s="107"/>
      <c r="L143" s="107"/>
      <c r="M143" s="106"/>
      <c r="N143" s="62">
        <f>J143*2%</f>
        <v>0</v>
      </c>
    </row>
    <row r="144" spans="1:14" ht="17.25" customHeight="1" x14ac:dyDescent="0.25">
      <c r="A144" s="102">
        <v>45248</v>
      </c>
      <c r="B144" s="103" t="s">
        <v>2176</v>
      </c>
      <c r="C144" s="103" t="s">
        <v>2177</v>
      </c>
      <c r="D144" s="103" t="s">
        <v>2075</v>
      </c>
      <c r="E144" s="103" t="s">
        <v>2171</v>
      </c>
      <c r="F144" s="103" t="s">
        <v>2178</v>
      </c>
      <c r="G144" s="104">
        <v>5775500</v>
      </c>
      <c r="H144" s="104">
        <f>G144*11%</f>
        <v>635305</v>
      </c>
      <c r="I144" s="105"/>
      <c r="J144" s="106"/>
      <c r="K144" s="107"/>
      <c r="L144" s="107"/>
      <c r="M144" s="106"/>
      <c r="N144" s="62">
        <f>J144*2%</f>
        <v>0</v>
      </c>
    </row>
    <row r="145" spans="1:14" ht="17.25" customHeight="1" x14ac:dyDescent="0.25">
      <c r="A145" s="102">
        <v>45248</v>
      </c>
      <c r="B145" s="103" t="s">
        <v>2179</v>
      </c>
      <c r="C145" s="103" t="s">
        <v>2180</v>
      </c>
      <c r="D145" s="103" t="s">
        <v>2075</v>
      </c>
      <c r="E145" s="103" t="s">
        <v>2181</v>
      </c>
      <c r="F145" s="103" t="s">
        <v>1995</v>
      </c>
      <c r="G145" s="104">
        <v>400000</v>
      </c>
      <c r="H145" s="104">
        <f>G145*11%</f>
        <v>44000</v>
      </c>
      <c r="I145" s="105"/>
      <c r="J145" s="106"/>
      <c r="K145" s="107"/>
      <c r="L145" s="107"/>
      <c r="M145" s="106"/>
      <c r="N145" s="62">
        <f>J145*2%</f>
        <v>0</v>
      </c>
    </row>
    <row r="146" spans="1:14" ht="17.25" customHeight="1" x14ac:dyDescent="0.25">
      <c r="A146" s="102">
        <v>45248</v>
      </c>
      <c r="B146" s="103" t="s">
        <v>2182</v>
      </c>
      <c r="C146" s="103" t="s">
        <v>2183</v>
      </c>
      <c r="D146" s="103" t="s">
        <v>2075</v>
      </c>
      <c r="E146" s="103" t="s">
        <v>2181</v>
      </c>
      <c r="F146" s="103" t="s">
        <v>1855</v>
      </c>
      <c r="G146" s="104">
        <v>400000</v>
      </c>
      <c r="H146" s="104">
        <f>G146*11%</f>
        <v>44000</v>
      </c>
      <c r="I146" s="85"/>
      <c r="J146" s="86"/>
      <c r="K146" s="87"/>
      <c r="L146" s="87"/>
      <c r="M146" s="86"/>
      <c r="N146" s="62"/>
    </row>
    <row r="147" spans="1:14" ht="17.25" customHeight="1" x14ac:dyDescent="0.25">
      <c r="A147" s="88"/>
      <c r="B147" s="89"/>
      <c r="C147" s="89"/>
      <c r="D147" s="42"/>
      <c r="E147" s="42"/>
      <c r="F147" s="42"/>
      <c r="G147" s="43"/>
      <c r="H147" s="43"/>
      <c r="I147" s="85"/>
      <c r="J147" s="86"/>
      <c r="K147" s="87"/>
      <c r="L147" s="87"/>
      <c r="M147" s="86"/>
      <c r="N147" s="62"/>
    </row>
    <row r="148" spans="1:14" ht="17.25" customHeight="1" x14ac:dyDescent="0.25">
      <c r="A148" s="88"/>
      <c r="B148" s="89"/>
      <c r="C148" s="89"/>
      <c r="D148" s="42"/>
      <c r="E148" s="42"/>
      <c r="F148" s="42"/>
      <c r="G148" s="43"/>
      <c r="H148" s="43"/>
      <c r="I148" s="85"/>
      <c r="J148" s="86"/>
      <c r="K148" s="87"/>
      <c r="L148" s="87"/>
      <c r="M148" s="86"/>
      <c r="N148" s="62"/>
    </row>
    <row r="149" spans="1:14" ht="17.25" customHeight="1" x14ac:dyDescent="0.25">
      <c r="A149" s="88">
        <v>45248</v>
      </c>
      <c r="B149" s="89" t="s">
        <v>2184</v>
      </c>
      <c r="C149" s="89" t="s">
        <v>2185</v>
      </c>
      <c r="D149" s="42" t="s">
        <v>2075</v>
      </c>
      <c r="E149" s="42" t="s">
        <v>2181</v>
      </c>
      <c r="F149" s="42" t="s">
        <v>2186</v>
      </c>
      <c r="G149" s="43">
        <v>1263500</v>
      </c>
      <c r="H149" s="43">
        <f>G149*11%</f>
        <v>138985</v>
      </c>
      <c r="I149" s="85"/>
      <c r="J149" s="86"/>
      <c r="K149" s="87"/>
      <c r="L149" s="87"/>
      <c r="M149" s="86"/>
      <c r="N149" s="62"/>
    </row>
    <row r="150" spans="1:14" ht="17.25" customHeight="1" x14ac:dyDescent="0.25">
      <c r="A150" s="88">
        <v>45248</v>
      </c>
      <c r="B150" s="89" t="s">
        <v>2187</v>
      </c>
      <c r="C150" s="89" t="s">
        <v>2188</v>
      </c>
      <c r="D150" s="42" t="s">
        <v>2075</v>
      </c>
      <c r="E150" s="42" t="s">
        <v>2181</v>
      </c>
      <c r="F150" s="42" t="s">
        <v>2189</v>
      </c>
      <c r="G150" s="43">
        <v>1288098</v>
      </c>
      <c r="H150" s="43">
        <f>G150*11%-1</f>
        <v>141689.78</v>
      </c>
      <c r="I150" s="85"/>
      <c r="J150" s="86"/>
      <c r="K150" s="87"/>
      <c r="L150" s="87"/>
      <c r="M150" s="86"/>
      <c r="N150" s="62"/>
    </row>
    <row r="151" spans="1:14" ht="17.25" customHeight="1" x14ac:dyDescent="0.25">
      <c r="A151" s="88"/>
      <c r="B151" s="89"/>
      <c r="C151" s="89"/>
      <c r="D151" s="42"/>
      <c r="E151" s="42"/>
      <c r="F151" s="42"/>
      <c r="G151" s="43"/>
      <c r="H151" s="43"/>
      <c r="I151" s="85"/>
      <c r="J151" s="86"/>
      <c r="K151" s="87"/>
      <c r="L151" s="87"/>
      <c r="M151" s="86"/>
      <c r="N151" s="62">
        <f t="shared" ref="N151:N159" si="5">J151*2%</f>
        <v>0</v>
      </c>
    </row>
    <row r="152" spans="1:14" ht="17.25" customHeight="1" x14ac:dyDescent="0.25">
      <c r="A152" s="88">
        <v>45248</v>
      </c>
      <c r="B152" s="89" t="s">
        <v>2190</v>
      </c>
      <c r="C152" s="89" t="s">
        <v>2191</v>
      </c>
      <c r="D152" s="42" t="s">
        <v>2075</v>
      </c>
      <c r="E152" s="42" t="s">
        <v>2181</v>
      </c>
      <c r="F152" s="42" t="s">
        <v>2192</v>
      </c>
      <c r="G152" s="43">
        <v>1321787</v>
      </c>
      <c r="H152" s="43">
        <f>G152*11%-1</f>
        <v>145395.57</v>
      </c>
      <c r="I152" s="85"/>
      <c r="J152" s="86"/>
      <c r="K152" s="87"/>
      <c r="L152" s="87"/>
      <c r="M152" s="86"/>
      <c r="N152" s="62">
        <f t="shared" si="5"/>
        <v>0</v>
      </c>
    </row>
    <row r="153" spans="1:14" ht="17.25" customHeight="1" x14ac:dyDescent="0.25">
      <c r="A153" s="88">
        <v>45248</v>
      </c>
      <c r="B153" s="89" t="s">
        <v>2193</v>
      </c>
      <c r="C153" s="89" t="s">
        <v>2194</v>
      </c>
      <c r="D153" s="42" t="s">
        <v>2075</v>
      </c>
      <c r="E153" s="42" t="s">
        <v>2181</v>
      </c>
      <c r="F153" s="42" t="s">
        <v>2195</v>
      </c>
      <c r="G153" s="43">
        <v>836792</v>
      </c>
      <c r="H153" s="43">
        <f>G153*11%</f>
        <v>92047.12</v>
      </c>
      <c r="I153" s="85"/>
      <c r="J153" s="86"/>
      <c r="K153" s="87"/>
      <c r="L153" s="87"/>
      <c r="M153" s="86"/>
      <c r="N153" s="62">
        <f t="shared" si="5"/>
        <v>0</v>
      </c>
    </row>
    <row r="154" spans="1:14" ht="17.25" customHeight="1" x14ac:dyDescent="0.25">
      <c r="A154" s="88">
        <v>45248</v>
      </c>
      <c r="B154" s="89" t="s">
        <v>2196</v>
      </c>
      <c r="C154" s="89" t="s">
        <v>2197</v>
      </c>
      <c r="D154" s="42" t="s">
        <v>2075</v>
      </c>
      <c r="E154" s="42" t="s">
        <v>2181</v>
      </c>
      <c r="F154" s="42" t="s">
        <v>2198</v>
      </c>
      <c r="G154" s="43">
        <v>1004150</v>
      </c>
      <c r="H154" s="43">
        <f>G154*11%-1</f>
        <v>110455.5</v>
      </c>
      <c r="I154" s="85"/>
      <c r="J154" s="86"/>
      <c r="K154" s="87"/>
      <c r="L154" s="87"/>
      <c r="M154" s="86"/>
      <c r="N154" s="62">
        <f t="shared" si="5"/>
        <v>0</v>
      </c>
    </row>
    <row r="155" spans="1:14" ht="17.25" customHeight="1" x14ac:dyDescent="0.25">
      <c r="A155" s="88">
        <v>45248</v>
      </c>
      <c r="B155" s="89" t="s">
        <v>2199</v>
      </c>
      <c r="C155" s="89" t="s">
        <v>2200</v>
      </c>
      <c r="D155" s="42" t="s">
        <v>2075</v>
      </c>
      <c r="E155" s="42" t="s">
        <v>2181</v>
      </c>
      <c r="F155" s="42" t="s">
        <v>2201</v>
      </c>
      <c r="G155" s="43">
        <v>1004150</v>
      </c>
      <c r="H155" s="43">
        <f>G155*11%-1</f>
        <v>110455.5</v>
      </c>
      <c r="I155" s="85"/>
      <c r="J155" s="86"/>
      <c r="K155" s="87"/>
      <c r="L155" s="87"/>
      <c r="M155" s="86"/>
      <c r="N155" s="62">
        <f t="shared" si="5"/>
        <v>0</v>
      </c>
    </row>
    <row r="156" spans="1:14" ht="17.25" customHeight="1" x14ac:dyDescent="0.25">
      <c r="A156" s="88">
        <v>45248</v>
      </c>
      <c r="B156" s="89" t="s">
        <v>2202</v>
      </c>
      <c r="C156" s="89" t="s">
        <v>2203</v>
      </c>
      <c r="D156" s="42" t="s">
        <v>2075</v>
      </c>
      <c r="E156" s="42" t="s">
        <v>2181</v>
      </c>
      <c r="F156" s="42" t="s">
        <v>2204</v>
      </c>
      <c r="G156" s="43">
        <v>1004150</v>
      </c>
      <c r="H156" s="43">
        <f>G156*11%-1</f>
        <v>110455.5</v>
      </c>
      <c r="I156" s="85"/>
      <c r="J156" s="86"/>
      <c r="K156" s="87"/>
      <c r="L156" s="87"/>
      <c r="M156" s="86"/>
      <c r="N156" s="62">
        <f t="shared" si="5"/>
        <v>0</v>
      </c>
    </row>
    <row r="157" spans="1:14" ht="17.25" customHeight="1" x14ac:dyDescent="0.25">
      <c r="A157" s="88">
        <v>45248</v>
      </c>
      <c r="B157" s="89" t="s">
        <v>2205</v>
      </c>
      <c r="C157" s="89" t="s">
        <v>2206</v>
      </c>
      <c r="D157" s="42" t="s">
        <v>2075</v>
      </c>
      <c r="E157" s="42" t="s">
        <v>2181</v>
      </c>
      <c r="F157" s="42" t="s">
        <v>2207</v>
      </c>
      <c r="G157" s="43">
        <v>1004150</v>
      </c>
      <c r="H157" s="43">
        <f>G157*11%-1</f>
        <v>110455.5</v>
      </c>
      <c r="I157" s="85"/>
      <c r="J157" s="86"/>
      <c r="K157" s="87"/>
      <c r="L157" s="87"/>
      <c r="M157" s="86"/>
      <c r="N157" s="62">
        <f t="shared" si="5"/>
        <v>0</v>
      </c>
    </row>
    <row r="158" spans="1:14" ht="17.25" customHeight="1" x14ac:dyDescent="0.25">
      <c r="A158" s="88"/>
      <c r="B158" s="89"/>
      <c r="C158" s="89"/>
      <c r="D158" s="42"/>
      <c r="E158" s="42"/>
      <c r="F158" s="42"/>
      <c r="G158" s="43"/>
      <c r="H158" s="43"/>
      <c r="I158" s="85"/>
      <c r="J158" s="86"/>
      <c r="K158" s="87"/>
      <c r="L158" s="87"/>
      <c r="M158" s="86"/>
      <c r="N158" s="62">
        <f t="shared" si="5"/>
        <v>0</v>
      </c>
    </row>
    <row r="159" spans="1:14" ht="17.25" customHeight="1" x14ac:dyDescent="0.25">
      <c r="A159" s="88">
        <v>45248</v>
      </c>
      <c r="B159" s="89" t="s">
        <v>2208</v>
      </c>
      <c r="C159" s="89" t="s">
        <v>2209</v>
      </c>
      <c r="D159" s="42" t="s">
        <v>1936</v>
      </c>
      <c r="E159" s="42" t="s">
        <v>2210</v>
      </c>
      <c r="F159" s="42" t="s">
        <v>1933</v>
      </c>
      <c r="G159" s="43">
        <v>1857450</v>
      </c>
      <c r="H159" s="43">
        <f>G159*11%-1</f>
        <v>204318.5</v>
      </c>
      <c r="I159" s="85"/>
      <c r="J159" s="86"/>
      <c r="K159" s="87"/>
      <c r="L159" s="87"/>
      <c r="M159" s="86"/>
      <c r="N159" s="62">
        <f t="shared" si="5"/>
        <v>0</v>
      </c>
    </row>
    <row r="160" spans="1:14" ht="17.25" customHeight="1" x14ac:dyDescent="0.25">
      <c r="A160" s="88"/>
      <c r="B160" s="89"/>
      <c r="C160" s="89"/>
      <c r="D160" s="42"/>
      <c r="E160" s="42"/>
      <c r="F160" s="42"/>
      <c r="G160" s="43"/>
      <c r="H160" s="43"/>
      <c r="I160" s="33">
        <v>45309</v>
      </c>
      <c r="J160" s="112"/>
      <c r="K160" s="34"/>
      <c r="L160" s="34"/>
      <c r="M160" s="112"/>
      <c r="N160" s="62"/>
    </row>
    <row r="161" spans="1:14" ht="17.25" customHeight="1" x14ac:dyDescent="0.25">
      <c r="A161" s="124" t="s">
        <v>2211</v>
      </c>
      <c r="B161" s="30" t="s">
        <v>2212</v>
      </c>
      <c r="C161" s="30" t="s">
        <v>2213</v>
      </c>
      <c r="D161" s="30" t="s">
        <v>1918</v>
      </c>
      <c r="E161" s="30" t="s">
        <v>1919</v>
      </c>
      <c r="F161" s="30" t="s">
        <v>1920</v>
      </c>
      <c r="G161" s="32">
        <v>13383250</v>
      </c>
      <c r="H161" s="32">
        <f>G161*11%-1</f>
        <v>1472156.5</v>
      </c>
      <c r="I161" s="25"/>
      <c r="J161" s="101"/>
      <c r="K161" s="26"/>
      <c r="L161" s="26"/>
      <c r="M161" s="101"/>
      <c r="N161" s="62">
        <f t="shared" ref="N161:N167" si="6">J161*2%</f>
        <v>0</v>
      </c>
    </row>
    <row r="162" spans="1:14" ht="17.25" customHeight="1" x14ac:dyDescent="0.25">
      <c r="A162" s="21">
        <v>45248</v>
      </c>
      <c r="B162" s="22" t="s">
        <v>2214</v>
      </c>
      <c r="C162" s="22" t="s">
        <v>2215</v>
      </c>
      <c r="D162" s="22" t="s">
        <v>1918</v>
      </c>
      <c r="E162" s="22" t="s">
        <v>2216</v>
      </c>
      <c r="F162" s="22" t="s">
        <v>1966</v>
      </c>
      <c r="G162" s="24">
        <v>26572000</v>
      </c>
      <c r="H162" s="24">
        <f>G162*11%</f>
        <v>2922920</v>
      </c>
      <c r="I162" s="85"/>
      <c r="J162" s="86"/>
      <c r="K162" s="87"/>
      <c r="L162" s="87"/>
      <c r="M162" s="86"/>
      <c r="N162" s="62">
        <f t="shared" si="6"/>
        <v>0</v>
      </c>
    </row>
    <row r="163" spans="1:14" ht="17.25" customHeight="1" x14ac:dyDescent="0.25">
      <c r="A163" s="84"/>
      <c r="B163" s="42"/>
      <c r="C163" s="42"/>
      <c r="D163" s="42"/>
      <c r="E163" s="42"/>
      <c r="F163" s="42"/>
      <c r="G163" s="43"/>
      <c r="H163" s="43"/>
      <c r="I163" s="85"/>
      <c r="J163" s="86"/>
      <c r="K163" s="87"/>
      <c r="L163" s="87"/>
      <c r="M163" s="86"/>
      <c r="N163" s="62">
        <f t="shared" si="6"/>
        <v>0</v>
      </c>
    </row>
    <row r="164" spans="1:14" ht="17.25" customHeight="1" x14ac:dyDescent="0.25">
      <c r="A164" s="88">
        <v>45250</v>
      </c>
      <c r="B164" s="89" t="s">
        <v>2217</v>
      </c>
      <c r="C164" s="89" t="s">
        <v>2218</v>
      </c>
      <c r="D164" s="42" t="s">
        <v>1936</v>
      </c>
      <c r="E164" s="42" t="s">
        <v>2219</v>
      </c>
      <c r="F164" s="42" t="s">
        <v>1966</v>
      </c>
      <c r="G164" s="43">
        <v>26656000</v>
      </c>
      <c r="H164" s="43">
        <f>G164*11%</f>
        <v>2932160</v>
      </c>
      <c r="I164" s="85"/>
      <c r="J164" s="86"/>
      <c r="K164" s="87"/>
      <c r="L164" s="87"/>
      <c r="M164" s="86"/>
      <c r="N164" s="62">
        <f t="shared" si="6"/>
        <v>0</v>
      </c>
    </row>
    <row r="165" spans="1:14" ht="17.25" customHeight="1" x14ac:dyDescent="0.25">
      <c r="A165" s="88"/>
      <c r="B165" s="89"/>
      <c r="C165" s="89"/>
      <c r="D165" s="42"/>
      <c r="E165" s="42"/>
      <c r="F165" s="42"/>
      <c r="G165" s="43"/>
      <c r="H165" s="43"/>
      <c r="I165" s="25">
        <v>45296</v>
      </c>
      <c r="J165" s="101"/>
      <c r="K165" s="26"/>
      <c r="L165" s="26"/>
      <c r="M165" s="101"/>
      <c r="N165" s="62">
        <f t="shared" si="6"/>
        <v>0</v>
      </c>
    </row>
    <row r="166" spans="1:14" ht="17.25" customHeight="1" x14ac:dyDescent="0.25">
      <c r="A166" s="21">
        <v>45250</v>
      </c>
      <c r="B166" s="22" t="s">
        <v>2220</v>
      </c>
      <c r="C166" s="22" t="s">
        <v>2221</v>
      </c>
      <c r="D166" s="22" t="s">
        <v>2222</v>
      </c>
      <c r="E166" s="22" t="s">
        <v>2223</v>
      </c>
      <c r="F166" s="22" t="s">
        <v>2224</v>
      </c>
      <c r="G166" s="24">
        <v>122560</v>
      </c>
      <c r="H166" s="24">
        <f>G166*11%-1</f>
        <v>13480.6</v>
      </c>
      <c r="I166" s="85"/>
      <c r="J166" s="86"/>
      <c r="K166" s="87"/>
      <c r="L166" s="87"/>
      <c r="M166" s="86"/>
      <c r="N166" s="62">
        <f t="shared" si="6"/>
        <v>0</v>
      </c>
    </row>
    <row r="167" spans="1:14" ht="17.25" customHeight="1" x14ac:dyDescent="0.25">
      <c r="A167" s="88"/>
      <c r="B167" s="89"/>
      <c r="C167" s="89"/>
      <c r="D167" s="42"/>
      <c r="E167" s="42"/>
      <c r="F167" s="42"/>
      <c r="G167" s="43"/>
      <c r="H167" s="43"/>
      <c r="I167" s="85"/>
      <c r="J167" s="86"/>
      <c r="K167" s="87"/>
      <c r="L167" s="87"/>
      <c r="M167" s="86"/>
      <c r="N167" s="62">
        <f t="shared" si="6"/>
        <v>0</v>
      </c>
    </row>
    <row r="168" spans="1:14" ht="17.25" customHeight="1" x14ac:dyDescent="0.25">
      <c r="A168" s="88">
        <v>45252</v>
      </c>
      <c r="B168" s="89" t="s">
        <v>2225</v>
      </c>
      <c r="C168" s="89" t="s">
        <v>2226</v>
      </c>
      <c r="D168" s="42" t="s">
        <v>1936</v>
      </c>
      <c r="E168" s="42" t="s">
        <v>2219</v>
      </c>
      <c r="F168" s="42" t="s">
        <v>2029</v>
      </c>
      <c r="G168" s="43">
        <v>36285600</v>
      </c>
      <c r="H168" s="43">
        <f>G168*11%</f>
        <v>3991416</v>
      </c>
      <c r="I168" s="85"/>
      <c r="J168" s="86"/>
      <c r="K168" s="87"/>
      <c r="L168" s="87"/>
      <c r="M168" s="86"/>
      <c r="N168" s="62"/>
    </row>
    <row r="169" spans="1:14" ht="17.25" customHeight="1" x14ac:dyDescent="0.25">
      <c r="A169" s="88"/>
      <c r="B169" s="89"/>
      <c r="C169" s="89"/>
      <c r="D169" s="42"/>
      <c r="E169" s="42"/>
      <c r="F169" s="42"/>
      <c r="G169" s="43"/>
      <c r="H169" s="43"/>
      <c r="I169" s="98">
        <v>45303</v>
      </c>
      <c r="J169" s="99"/>
      <c r="K169" s="100"/>
      <c r="L169" s="100"/>
      <c r="M169" s="99"/>
      <c r="N169" s="62">
        <f>J169*2%</f>
        <v>0</v>
      </c>
    </row>
    <row r="170" spans="1:14" ht="17.25" customHeight="1" x14ac:dyDescent="0.25">
      <c r="A170" s="125">
        <v>45252</v>
      </c>
      <c r="B170" s="126" t="s">
        <v>2227</v>
      </c>
      <c r="C170" s="126" t="s">
        <v>2228</v>
      </c>
      <c r="D170" s="126" t="s">
        <v>2229</v>
      </c>
      <c r="E170" s="126" t="s">
        <v>2230</v>
      </c>
      <c r="F170" s="126" t="s">
        <v>1920</v>
      </c>
      <c r="G170" s="127">
        <v>16200000</v>
      </c>
      <c r="H170" s="127">
        <f>G170*11%</f>
        <v>1782000</v>
      </c>
      <c r="I170" s="85"/>
      <c r="J170" s="86"/>
      <c r="K170" s="87"/>
      <c r="L170" s="87"/>
      <c r="M170" s="86"/>
      <c r="N170" s="62"/>
    </row>
    <row r="171" spans="1:14" ht="17.25" customHeight="1" x14ac:dyDescent="0.25">
      <c r="A171" s="93"/>
      <c r="B171" s="92"/>
      <c r="C171" s="92"/>
      <c r="D171" s="71"/>
      <c r="E171" s="71"/>
      <c r="F171" s="71"/>
      <c r="G171" s="72"/>
      <c r="H171" s="72"/>
      <c r="I171" s="85"/>
      <c r="J171" s="86"/>
      <c r="K171" s="87"/>
      <c r="L171" s="87"/>
      <c r="M171" s="86"/>
      <c r="N171" s="62">
        <f>J171*2%</f>
        <v>0</v>
      </c>
    </row>
    <row r="172" spans="1:14" ht="17.25" customHeight="1" x14ac:dyDescent="0.25">
      <c r="A172" s="88">
        <v>45254</v>
      </c>
      <c r="B172" s="89" t="s">
        <v>2231</v>
      </c>
      <c r="C172" s="89" t="s">
        <v>2232</v>
      </c>
      <c r="D172" s="42" t="s">
        <v>1853</v>
      </c>
      <c r="E172" s="42" t="s">
        <v>1965</v>
      </c>
      <c r="F172" s="42" t="s">
        <v>2029</v>
      </c>
      <c r="G172" s="43">
        <v>7244700</v>
      </c>
      <c r="H172" s="43">
        <f>G172*11%</f>
        <v>796917</v>
      </c>
      <c r="I172" s="85"/>
      <c r="J172" s="86"/>
      <c r="K172" s="87"/>
      <c r="L172" s="87"/>
      <c r="M172" s="86"/>
      <c r="N172" s="62"/>
    </row>
    <row r="173" spans="1:14" ht="17.25" customHeight="1" x14ac:dyDescent="0.25">
      <c r="A173" s="88"/>
      <c r="B173" s="89"/>
      <c r="C173" s="89"/>
      <c r="D173" s="42"/>
      <c r="E173" s="42"/>
      <c r="F173" s="42"/>
      <c r="G173" s="43"/>
      <c r="H173" s="43"/>
      <c r="I173" s="25">
        <v>45294</v>
      </c>
      <c r="J173" s="101"/>
      <c r="K173" s="26"/>
      <c r="L173" s="26"/>
      <c r="M173" s="101"/>
      <c r="N173" s="62"/>
    </row>
    <row r="174" spans="1:14" ht="17.25" customHeight="1" x14ac:dyDescent="0.25">
      <c r="A174" s="21">
        <v>45225</v>
      </c>
      <c r="B174" s="22" t="s">
        <v>2233</v>
      </c>
      <c r="C174" s="22" t="s">
        <v>2234</v>
      </c>
      <c r="D174" s="22" t="s">
        <v>1936</v>
      </c>
      <c r="E174" s="22" t="s">
        <v>2235</v>
      </c>
      <c r="F174" s="22" t="s">
        <v>1979</v>
      </c>
      <c r="G174" s="24">
        <v>13532600</v>
      </c>
      <c r="H174" s="24">
        <f>G174*11%</f>
        <v>1488586</v>
      </c>
      <c r="I174" s="25"/>
      <c r="J174" s="101"/>
      <c r="K174" s="26"/>
      <c r="L174" s="26"/>
      <c r="M174" s="101"/>
      <c r="N174" s="62">
        <f>J174*2%</f>
        <v>0</v>
      </c>
    </row>
    <row r="175" spans="1:14" ht="17.25" customHeight="1" x14ac:dyDescent="0.25">
      <c r="A175" s="21">
        <v>45244</v>
      </c>
      <c r="B175" s="22" t="s">
        <v>2236</v>
      </c>
      <c r="C175" s="22" t="s">
        <v>2237</v>
      </c>
      <c r="D175" s="22" t="s">
        <v>1936</v>
      </c>
      <c r="E175" s="22" t="s">
        <v>2238</v>
      </c>
      <c r="F175" s="22" t="s">
        <v>1933</v>
      </c>
      <c r="G175" s="24">
        <v>53981000</v>
      </c>
      <c r="H175" s="24">
        <f>G175*11%</f>
        <v>5937910</v>
      </c>
      <c r="I175" s="85"/>
      <c r="J175" s="86"/>
      <c r="K175" s="87"/>
      <c r="L175" s="87"/>
      <c r="M175" s="86"/>
      <c r="N175" s="62"/>
    </row>
    <row r="176" spans="1:14" ht="17.25" customHeight="1" x14ac:dyDescent="0.25">
      <c r="A176" s="88"/>
      <c r="B176" s="89"/>
      <c r="C176" s="89"/>
      <c r="D176" s="42"/>
      <c r="E176" s="42"/>
      <c r="F176" s="42"/>
      <c r="G176" s="43"/>
      <c r="H176" s="43"/>
      <c r="I176" s="85"/>
      <c r="J176" s="86"/>
      <c r="K176" s="87"/>
      <c r="L176" s="87"/>
      <c r="M176" s="86"/>
      <c r="N176" s="62">
        <f>J176*2%</f>
        <v>0</v>
      </c>
    </row>
    <row r="177" spans="1:14" ht="17.25" customHeight="1" x14ac:dyDescent="0.25">
      <c r="A177" s="88">
        <v>45254</v>
      </c>
      <c r="B177" s="89" t="s">
        <v>2239</v>
      </c>
      <c r="C177" s="89" t="s">
        <v>2240</v>
      </c>
      <c r="D177" s="42" t="s">
        <v>1853</v>
      </c>
      <c r="E177" s="42" t="s">
        <v>1952</v>
      </c>
      <c r="F177" s="42" t="s">
        <v>2029</v>
      </c>
      <c r="G177" s="43">
        <v>6925000</v>
      </c>
      <c r="H177" s="43">
        <f>G177*11%</f>
        <v>761750</v>
      </c>
      <c r="I177" s="85"/>
      <c r="J177" s="86"/>
      <c r="K177" s="87"/>
      <c r="L177" s="87"/>
      <c r="M177" s="86"/>
      <c r="N177" s="62"/>
    </row>
    <row r="178" spans="1:14" ht="17.25" customHeight="1" x14ac:dyDescent="0.25">
      <c r="A178" s="88"/>
      <c r="B178" s="89"/>
      <c r="C178" s="89"/>
      <c r="D178" s="42"/>
      <c r="E178" s="42"/>
      <c r="F178" s="42"/>
      <c r="G178" s="43"/>
      <c r="H178" s="43"/>
      <c r="I178" s="105">
        <v>45303</v>
      </c>
      <c r="J178" s="106"/>
      <c r="K178" s="107"/>
      <c r="L178" s="107"/>
      <c r="M178" s="106"/>
      <c r="N178" s="62">
        <f>J178*2%</f>
        <v>0</v>
      </c>
    </row>
    <row r="179" spans="1:14" ht="17.25" customHeight="1" x14ac:dyDescent="0.25">
      <c r="A179" s="102">
        <v>45259</v>
      </c>
      <c r="B179" s="103" t="s">
        <v>2241</v>
      </c>
      <c r="C179" s="103" t="s">
        <v>2242</v>
      </c>
      <c r="D179" s="103" t="s">
        <v>2243</v>
      </c>
      <c r="E179" s="103" t="s">
        <v>2244</v>
      </c>
      <c r="F179" s="103" t="s">
        <v>2245</v>
      </c>
      <c r="G179" s="104">
        <v>24099440</v>
      </c>
      <c r="H179" s="104">
        <f>G179*11%</f>
        <v>2650938.4</v>
      </c>
      <c r="I179" s="33"/>
      <c r="J179" s="112"/>
      <c r="K179" s="34"/>
      <c r="L179" s="34"/>
      <c r="M179" s="112"/>
      <c r="N179" s="62">
        <f>J179*2%</f>
        <v>0</v>
      </c>
    </row>
    <row r="180" spans="1:14" ht="17.25" customHeight="1" x14ac:dyDescent="0.25">
      <c r="A180" s="29">
        <v>45259</v>
      </c>
      <c r="B180" s="30" t="s">
        <v>2246</v>
      </c>
      <c r="C180" s="30" t="s">
        <v>2247</v>
      </c>
      <c r="D180" s="30" t="s">
        <v>2243</v>
      </c>
      <c r="E180" s="30" t="s">
        <v>2248</v>
      </c>
      <c r="F180" s="30" t="s">
        <v>1920</v>
      </c>
      <c r="G180" s="32">
        <v>75050000</v>
      </c>
      <c r="H180" s="32">
        <f>G180*11%</f>
        <v>8255500</v>
      </c>
      <c r="I180" s="85"/>
      <c r="J180" s="86"/>
      <c r="K180" s="87"/>
      <c r="L180" s="87"/>
      <c r="M180" s="86"/>
      <c r="N180" s="62"/>
    </row>
    <row r="181" spans="1:14" ht="17.25" customHeight="1" x14ac:dyDescent="0.25">
      <c r="A181" s="93"/>
      <c r="B181" s="92"/>
      <c r="C181" s="92"/>
      <c r="D181" s="71"/>
      <c r="E181" s="71"/>
      <c r="F181" s="71"/>
      <c r="G181" s="72"/>
      <c r="H181" s="72"/>
      <c r="I181" s="98">
        <v>45296</v>
      </c>
      <c r="J181" s="99"/>
      <c r="K181" s="100"/>
      <c r="L181" s="100"/>
      <c r="M181" s="99"/>
      <c r="N181" s="62">
        <f t="shared" ref="N181:N195" si="7">J181*2%</f>
        <v>0</v>
      </c>
    </row>
    <row r="182" spans="1:14" ht="17.25" customHeight="1" x14ac:dyDescent="0.25">
      <c r="A182" s="125">
        <v>45260</v>
      </c>
      <c r="B182" s="126" t="s">
        <v>2249</v>
      </c>
      <c r="C182" s="126" t="s">
        <v>2250</v>
      </c>
      <c r="D182" s="126" t="s">
        <v>2251</v>
      </c>
      <c r="E182" s="126" t="s">
        <v>2252</v>
      </c>
      <c r="F182" s="126" t="s">
        <v>1920</v>
      </c>
      <c r="G182" s="127">
        <v>67500000</v>
      </c>
      <c r="H182" s="127">
        <f>G182*11%</f>
        <v>7425000</v>
      </c>
      <c r="I182" s="98">
        <v>45296</v>
      </c>
      <c r="J182" s="99"/>
      <c r="K182" s="100"/>
      <c r="L182" s="100"/>
      <c r="M182" s="99"/>
      <c r="N182" s="62">
        <f t="shared" si="7"/>
        <v>0</v>
      </c>
    </row>
    <row r="183" spans="1:14" ht="17.25" customHeight="1" x14ac:dyDescent="0.25">
      <c r="A183" s="125">
        <v>45260</v>
      </c>
      <c r="B183" s="126" t="s">
        <v>2253</v>
      </c>
      <c r="C183" s="126" t="s">
        <v>2254</v>
      </c>
      <c r="D183" s="126" t="s">
        <v>2251</v>
      </c>
      <c r="E183" s="126" t="s">
        <v>2252</v>
      </c>
      <c r="F183" s="126" t="s">
        <v>1920</v>
      </c>
      <c r="G183" s="127">
        <v>67500000</v>
      </c>
      <c r="H183" s="127">
        <f>G183*11%</f>
        <v>7425000</v>
      </c>
      <c r="I183" s="85"/>
      <c r="J183" s="86"/>
      <c r="K183" s="87"/>
      <c r="L183" s="87"/>
      <c r="M183" s="86"/>
      <c r="N183" s="62">
        <f t="shared" si="7"/>
        <v>0</v>
      </c>
    </row>
    <row r="184" spans="1:14" ht="17.25" customHeight="1" x14ac:dyDescent="0.2">
      <c r="A184" s="90"/>
      <c r="B184" s="87"/>
      <c r="C184" s="87"/>
      <c r="D184" s="87"/>
      <c r="E184" s="87"/>
      <c r="F184" s="87"/>
      <c r="G184" s="86"/>
      <c r="H184" s="86"/>
      <c r="I184" s="25">
        <v>45316</v>
      </c>
      <c r="J184" s="101"/>
      <c r="K184" s="26"/>
      <c r="L184" s="26"/>
      <c r="M184" s="101"/>
      <c r="N184" s="62">
        <f t="shared" si="7"/>
        <v>0</v>
      </c>
    </row>
    <row r="185" spans="1:14" ht="17.25" customHeight="1" x14ac:dyDescent="0.25">
      <c r="A185" s="21">
        <v>45260</v>
      </c>
      <c r="B185" s="22" t="s">
        <v>2255</v>
      </c>
      <c r="C185" s="22" t="s">
        <v>2256</v>
      </c>
      <c r="D185" s="22" t="s">
        <v>2257</v>
      </c>
      <c r="E185" s="22" t="s">
        <v>2258</v>
      </c>
      <c r="F185" s="22" t="s">
        <v>2259</v>
      </c>
      <c r="G185" s="24">
        <v>35384917</v>
      </c>
      <c r="H185" s="24">
        <f>G185*11%-1</f>
        <v>3892339.87</v>
      </c>
      <c r="I185" s="25"/>
      <c r="J185" s="101"/>
      <c r="K185" s="26"/>
      <c r="L185" s="26"/>
      <c r="M185" s="101"/>
      <c r="N185" s="62">
        <f t="shared" si="7"/>
        <v>0</v>
      </c>
    </row>
    <row r="186" spans="1:14" ht="17.25" customHeight="1" x14ac:dyDescent="0.25">
      <c r="A186" s="21">
        <v>45260</v>
      </c>
      <c r="B186" s="22" t="s">
        <v>2260</v>
      </c>
      <c r="C186" s="22" t="s">
        <v>2261</v>
      </c>
      <c r="D186" s="22" t="s">
        <v>2257</v>
      </c>
      <c r="E186" s="22" t="s">
        <v>2262</v>
      </c>
      <c r="F186" s="22" t="s">
        <v>2259</v>
      </c>
      <c r="G186" s="24">
        <v>4201517</v>
      </c>
      <c r="H186" s="24">
        <f>G186*11%-1</f>
        <v>462165.87</v>
      </c>
      <c r="I186" s="25"/>
      <c r="J186" s="101"/>
      <c r="K186" s="26"/>
      <c r="L186" s="26"/>
      <c r="M186" s="101"/>
      <c r="N186" s="62">
        <f t="shared" si="7"/>
        <v>0</v>
      </c>
    </row>
    <row r="187" spans="1:14" ht="17.25" customHeight="1" x14ac:dyDescent="0.25">
      <c r="A187" s="21">
        <v>45260</v>
      </c>
      <c r="B187" s="22" t="s">
        <v>2263</v>
      </c>
      <c r="C187" s="22" t="s">
        <v>2264</v>
      </c>
      <c r="D187" s="22" t="s">
        <v>2257</v>
      </c>
      <c r="E187" s="22" t="s">
        <v>2265</v>
      </c>
      <c r="F187" s="22" t="s">
        <v>2259</v>
      </c>
      <c r="G187" s="24">
        <v>1174800</v>
      </c>
      <c r="H187" s="24">
        <f>G187*11%</f>
        <v>129228</v>
      </c>
      <c r="I187" s="25"/>
      <c r="J187" s="101"/>
      <c r="K187" s="26"/>
      <c r="L187" s="26"/>
      <c r="M187" s="101"/>
      <c r="N187" s="62">
        <f t="shared" si="7"/>
        <v>0</v>
      </c>
    </row>
    <row r="188" spans="1:14" ht="17.25" customHeight="1" x14ac:dyDescent="0.25">
      <c r="A188" s="21">
        <v>45260</v>
      </c>
      <c r="B188" s="22" t="s">
        <v>2266</v>
      </c>
      <c r="C188" s="22" t="s">
        <v>2267</v>
      </c>
      <c r="D188" s="22" t="s">
        <v>2257</v>
      </c>
      <c r="E188" s="22" t="s">
        <v>2268</v>
      </c>
      <c r="F188" s="22" t="s">
        <v>2259</v>
      </c>
      <c r="G188" s="24">
        <v>77772309</v>
      </c>
      <c r="H188" s="24">
        <f>G188*11%-1</f>
        <v>8554952.9900000002</v>
      </c>
      <c r="I188" s="25"/>
      <c r="J188" s="101"/>
      <c r="K188" s="26"/>
      <c r="L188" s="26"/>
      <c r="M188" s="101"/>
      <c r="N188" s="62">
        <f t="shared" si="7"/>
        <v>0</v>
      </c>
    </row>
    <row r="189" spans="1:14" ht="17.25" customHeight="1" x14ac:dyDescent="0.25">
      <c r="A189" s="21">
        <v>45260</v>
      </c>
      <c r="B189" s="22" t="s">
        <v>2269</v>
      </c>
      <c r="C189" s="22" t="s">
        <v>2270</v>
      </c>
      <c r="D189" s="22" t="s">
        <v>2257</v>
      </c>
      <c r="E189" s="22" t="s">
        <v>2271</v>
      </c>
      <c r="F189" s="22" t="s">
        <v>2259</v>
      </c>
      <c r="G189" s="24">
        <v>781017</v>
      </c>
      <c r="H189" s="24">
        <f>G189*11%-1</f>
        <v>85910.87</v>
      </c>
      <c r="I189" s="25"/>
      <c r="J189" s="101"/>
      <c r="K189" s="26"/>
      <c r="L189" s="26"/>
      <c r="M189" s="101"/>
      <c r="N189" s="62">
        <f t="shared" si="7"/>
        <v>0</v>
      </c>
    </row>
    <row r="190" spans="1:14" ht="17.25" customHeight="1" x14ac:dyDescent="0.25">
      <c r="A190" s="21">
        <v>45260</v>
      </c>
      <c r="B190" s="22" t="s">
        <v>2272</v>
      </c>
      <c r="C190" s="22" t="s">
        <v>2273</v>
      </c>
      <c r="D190" s="22" t="s">
        <v>2257</v>
      </c>
      <c r="E190" s="22" t="s">
        <v>2274</v>
      </c>
      <c r="F190" s="22" t="s">
        <v>2259</v>
      </c>
      <c r="G190" s="24">
        <v>15598246</v>
      </c>
      <c r="H190" s="24">
        <f>G190*11%</f>
        <v>1715807.06</v>
      </c>
      <c r="I190" s="85"/>
      <c r="J190" s="86"/>
      <c r="K190" s="87"/>
      <c r="L190" s="87"/>
      <c r="M190" s="86"/>
      <c r="N190" s="62">
        <f t="shared" si="7"/>
        <v>0</v>
      </c>
    </row>
    <row r="191" spans="1:14" ht="17.25" customHeight="1" x14ac:dyDescent="0.25">
      <c r="A191" s="88"/>
      <c r="B191" s="89"/>
      <c r="C191" s="89"/>
      <c r="D191" s="42"/>
      <c r="E191" s="42"/>
      <c r="F191" s="42"/>
      <c r="G191" s="43"/>
      <c r="H191" s="43"/>
      <c r="I191" s="85"/>
      <c r="J191" s="86"/>
      <c r="K191" s="87"/>
      <c r="L191" s="87"/>
      <c r="M191" s="86"/>
      <c r="N191" s="62">
        <f t="shared" si="7"/>
        <v>0</v>
      </c>
    </row>
    <row r="192" spans="1:14" ht="17.25" customHeight="1" x14ac:dyDescent="0.25">
      <c r="A192" s="88">
        <v>45261</v>
      </c>
      <c r="B192" s="89" t="s">
        <v>2275</v>
      </c>
      <c r="C192" s="89" t="s">
        <v>2276</v>
      </c>
      <c r="D192" s="42" t="s">
        <v>2027</v>
      </c>
      <c r="E192" s="42" t="s">
        <v>2277</v>
      </c>
      <c r="F192" s="42" t="s">
        <v>2259</v>
      </c>
      <c r="G192" s="43">
        <v>4566550</v>
      </c>
      <c r="H192" s="43">
        <f>G192*11%-1</f>
        <v>502319.5</v>
      </c>
      <c r="I192" s="85"/>
      <c r="J192" s="86"/>
      <c r="K192" s="87"/>
      <c r="L192" s="87"/>
      <c r="M192" s="86"/>
      <c r="N192" s="62">
        <f t="shared" si="7"/>
        <v>0</v>
      </c>
    </row>
    <row r="193" spans="1:14" ht="17.25" customHeight="1" x14ac:dyDescent="0.25">
      <c r="A193" s="88">
        <v>45261</v>
      </c>
      <c r="B193" s="89" t="s">
        <v>2278</v>
      </c>
      <c r="C193" s="89" t="s">
        <v>2279</v>
      </c>
      <c r="D193" s="42" t="s">
        <v>2027</v>
      </c>
      <c r="E193" s="42" t="s">
        <v>2032</v>
      </c>
      <c r="F193" s="42" t="s">
        <v>2259</v>
      </c>
      <c r="G193" s="43">
        <v>1232000</v>
      </c>
      <c r="H193" s="43">
        <f>G193*11%</f>
        <v>135520</v>
      </c>
      <c r="I193" s="85"/>
      <c r="J193" s="86"/>
      <c r="K193" s="87"/>
      <c r="L193" s="87"/>
      <c r="M193" s="86"/>
      <c r="N193" s="62">
        <f t="shared" si="7"/>
        <v>0</v>
      </c>
    </row>
    <row r="194" spans="1:14" ht="17.25" customHeight="1" x14ac:dyDescent="0.25">
      <c r="A194" s="88">
        <v>45261</v>
      </c>
      <c r="B194" s="89" t="s">
        <v>2280</v>
      </c>
      <c r="C194" s="89" t="s">
        <v>2281</v>
      </c>
      <c r="D194" s="42" t="s">
        <v>2027</v>
      </c>
      <c r="E194" s="42" t="s">
        <v>2035</v>
      </c>
      <c r="F194" s="42" t="s">
        <v>2259</v>
      </c>
      <c r="G194" s="43">
        <v>522500</v>
      </c>
      <c r="H194" s="43">
        <f>G194*11%</f>
        <v>57475</v>
      </c>
      <c r="I194" s="85"/>
      <c r="J194" s="86"/>
      <c r="K194" s="87"/>
      <c r="L194" s="87"/>
      <c r="M194" s="86"/>
      <c r="N194" s="62">
        <f t="shared" si="7"/>
        <v>0</v>
      </c>
    </row>
    <row r="195" spans="1:14" ht="17.25" customHeight="1" x14ac:dyDescent="0.25">
      <c r="A195" s="88">
        <v>45261</v>
      </c>
      <c r="B195" s="89" t="s">
        <v>2282</v>
      </c>
      <c r="C195" s="89" t="s">
        <v>2283</v>
      </c>
      <c r="D195" s="42" t="s">
        <v>1931</v>
      </c>
      <c r="E195" s="42" t="s">
        <v>1994</v>
      </c>
      <c r="F195" s="42" t="s">
        <v>2259</v>
      </c>
      <c r="G195" s="43">
        <v>52422500</v>
      </c>
      <c r="H195" s="43">
        <f>G195*11%</f>
        <v>5766475</v>
      </c>
      <c r="I195" s="85"/>
      <c r="J195" s="86"/>
      <c r="K195" s="87"/>
      <c r="L195" s="87"/>
      <c r="M195" s="86"/>
      <c r="N195" s="62">
        <f t="shared" si="7"/>
        <v>0</v>
      </c>
    </row>
    <row r="196" spans="1:14" ht="17.25" customHeight="1" x14ac:dyDescent="0.25">
      <c r="A196" s="88">
        <v>45261</v>
      </c>
      <c r="B196" s="89" t="s">
        <v>2284</v>
      </c>
      <c r="C196" s="89" t="s">
        <v>2285</v>
      </c>
      <c r="D196" s="42" t="s">
        <v>2043</v>
      </c>
      <c r="E196" s="42" t="s">
        <v>2044</v>
      </c>
      <c r="F196" s="42" t="s">
        <v>2259</v>
      </c>
      <c r="G196" s="43">
        <v>1987720</v>
      </c>
      <c r="H196" s="43">
        <f>G196*11%</f>
        <v>218649.2</v>
      </c>
      <c r="I196" s="85"/>
      <c r="J196" s="86"/>
      <c r="K196" s="87"/>
      <c r="L196" s="87"/>
      <c r="M196" s="86"/>
      <c r="N196" s="62"/>
    </row>
    <row r="197" spans="1:14" ht="17.25" customHeight="1" x14ac:dyDescent="0.25">
      <c r="A197" s="93"/>
      <c r="B197" s="92"/>
      <c r="C197" s="92"/>
      <c r="D197" s="71"/>
      <c r="E197" s="71"/>
      <c r="F197" s="71"/>
      <c r="G197" s="72"/>
      <c r="H197" s="72"/>
      <c r="I197" s="33">
        <v>45320</v>
      </c>
      <c r="J197" s="112"/>
      <c r="K197" s="34"/>
      <c r="L197" s="34"/>
      <c r="M197" s="112"/>
      <c r="N197" s="62">
        <f>J197*2%</f>
        <v>0</v>
      </c>
    </row>
    <row r="198" spans="1:14" ht="17.25" customHeight="1" x14ac:dyDescent="0.25">
      <c r="A198" s="29">
        <v>45261</v>
      </c>
      <c r="B198" s="30" t="s">
        <v>2286</v>
      </c>
      <c r="C198" s="30" t="s">
        <v>2287</v>
      </c>
      <c r="D198" s="30" t="s">
        <v>2288</v>
      </c>
      <c r="E198" s="30" t="s">
        <v>2289</v>
      </c>
      <c r="F198" s="30" t="s">
        <v>1875</v>
      </c>
      <c r="G198" s="32">
        <v>150000000</v>
      </c>
      <c r="H198" s="32">
        <f>G198*11%</f>
        <v>16500000</v>
      </c>
      <c r="I198" s="85"/>
      <c r="J198" s="86"/>
      <c r="K198" s="87"/>
      <c r="L198" s="87"/>
      <c r="M198" s="86"/>
      <c r="N198" s="62"/>
    </row>
    <row r="199" spans="1:14" ht="17.25" customHeight="1" x14ac:dyDescent="0.25">
      <c r="A199" s="88"/>
      <c r="B199" s="89"/>
      <c r="C199" s="89"/>
      <c r="D199" s="42"/>
      <c r="E199" s="42"/>
      <c r="F199" s="42"/>
      <c r="G199" s="43"/>
      <c r="H199" s="43"/>
      <c r="I199" s="25">
        <v>45300</v>
      </c>
      <c r="J199" s="101"/>
      <c r="K199" s="26"/>
      <c r="L199" s="26"/>
      <c r="M199" s="101"/>
      <c r="N199" s="62"/>
    </row>
    <row r="200" spans="1:14" ht="17.25" customHeight="1" x14ac:dyDescent="0.25">
      <c r="A200" s="21">
        <v>45223</v>
      </c>
      <c r="B200" s="22" t="s">
        <v>2290</v>
      </c>
      <c r="C200" s="22" t="s">
        <v>2291</v>
      </c>
      <c r="D200" s="22" t="s">
        <v>1936</v>
      </c>
      <c r="E200" s="22" t="s">
        <v>2292</v>
      </c>
      <c r="F200" s="22" t="s">
        <v>2048</v>
      </c>
      <c r="G200" s="24">
        <v>3465160</v>
      </c>
      <c r="H200" s="24">
        <f>G200*11%-1</f>
        <v>381166.6</v>
      </c>
      <c r="I200" s="25"/>
      <c r="J200" s="101"/>
      <c r="K200" s="26"/>
      <c r="L200" s="26"/>
      <c r="M200" s="101"/>
      <c r="N200" s="62">
        <f>J200*2%</f>
        <v>0</v>
      </c>
    </row>
    <row r="201" spans="1:14" ht="17.25" customHeight="1" x14ac:dyDescent="0.25">
      <c r="A201" s="21">
        <v>45266</v>
      </c>
      <c r="B201" s="22" t="s">
        <v>2293</v>
      </c>
      <c r="C201" s="22" t="s">
        <v>2294</v>
      </c>
      <c r="D201" s="22" t="s">
        <v>1936</v>
      </c>
      <c r="E201" s="22" t="s">
        <v>2292</v>
      </c>
      <c r="F201" s="22" t="s">
        <v>1966</v>
      </c>
      <c r="G201" s="24">
        <v>346156570</v>
      </c>
      <c r="H201" s="24">
        <f>G201*11%-1</f>
        <v>38077221.700000003</v>
      </c>
      <c r="I201" s="25"/>
      <c r="J201" s="101"/>
      <c r="K201" s="26"/>
      <c r="L201" s="26"/>
      <c r="M201" s="101"/>
      <c r="N201" s="62">
        <f>J201*2%</f>
        <v>0</v>
      </c>
    </row>
    <row r="202" spans="1:14" ht="17.25" customHeight="1" x14ac:dyDescent="0.25">
      <c r="A202" s="21">
        <v>45266</v>
      </c>
      <c r="B202" s="22" t="s">
        <v>2295</v>
      </c>
      <c r="C202" s="22" t="s">
        <v>2296</v>
      </c>
      <c r="D202" s="22" t="s">
        <v>1936</v>
      </c>
      <c r="E202" s="22" t="s">
        <v>2292</v>
      </c>
      <c r="F202" s="22" t="s">
        <v>2029</v>
      </c>
      <c r="G202" s="24">
        <v>387980020</v>
      </c>
      <c r="H202" s="24">
        <f>G202*11%</f>
        <v>42677802.200000003</v>
      </c>
      <c r="I202" s="85"/>
      <c r="J202" s="86"/>
      <c r="K202" s="87"/>
      <c r="L202" s="87"/>
      <c r="M202" s="86"/>
      <c r="N202" s="62"/>
    </row>
    <row r="203" spans="1:14" ht="17.25" customHeight="1" x14ac:dyDescent="0.25">
      <c r="A203" s="88"/>
      <c r="B203" s="89"/>
      <c r="C203" s="89"/>
      <c r="D203" s="42"/>
      <c r="E203" s="42"/>
      <c r="F203" s="42"/>
      <c r="G203" s="43"/>
      <c r="H203" s="43"/>
      <c r="I203" s="33">
        <v>45301</v>
      </c>
      <c r="J203" s="112"/>
      <c r="K203" s="34"/>
      <c r="L203" s="34"/>
      <c r="M203" s="112"/>
      <c r="N203" s="62"/>
    </row>
    <row r="204" spans="1:14" ht="17.25" customHeight="1" x14ac:dyDescent="0.25">
      <c r="A204" s="29">
        <v>45261</v>
      </c>
      <c r="B204" s="30" t="s">
        <v>2297</v>
      </c>
      <c r="C204" s="30" t="s">
        <v>2298</v>
      </c>
      <c r="D204" s="30" t="s">
        <v>2043</v>
      </c>
      <c r="E204" s="30" t="s">
        <v>2044</v>
      </c>
      <c r="F204" s="30" t="s">
        <v>1920</v>
      </c>
      <c r="G204" s="32">
        <v>5016000</v>
      </c>
      <c r="H204" s="32">
        <f>G204*11%</f>
        <v>551760</v>
      </c>
      <c r="I204" s="33"/>
      <c r="J204" s="112"/>
      <c r="K204" s="34"/>
      <c r="L204" s="34"/>
      <c r="M204" s="112"/>
      <c r="N204" s="62">
        <f>J204*2%</f>
        <v>0</v>
      </c>
    </row>
    <row r="205" spans="1:14" ht="17.25" customHeight="1" x14ac:dyDescent="0.25">
      <c r="A205" s="29">
        <v>45267</v>
      </c>
      <c r="B205" s="30" t="s">
        <v>2299</v>
      </c>
      <c r="C205" s="30" t="s">
        <v>2300</v>
      </c>
      <c r="D205" s="30" t="s">
        <v>2043</v>
      </c>
      <c r="E205" s="30" t="s">
        <v>2301</v>
      </c>
      <c r="F205" s="30" t="s">
        <v>1920</v>
      </c>
      <c r="G205" s="32">
        <v>1856000</v>
      </c>
      <c r="H205" s="32">
        <f>G205*11%</f>
        <v>204160</v>
      </c>
      <c r="I205" s="85"/>
      <c r="J205" s="86"/>
      <c r="K205" s="87"/>
      <c r="L205" s="87"/>
      <c r="M205" s="86"/>
      <c r="N205" s="62"/>
    </row>
    <row r="206" spans="1:14" ht="17.25" customHeight="1" x14ac:dyDescent="0.25">
      <c r="A206" s="93"/>
      <c r="B206" s="92"/>
      <c r="C206" s="92"/>
      <c r="D206" s="71"/>
      <c r="E206" s="71"/>
      <c r="F206" s="71"/>
      <c r="G206" s="72"/>
      <c r="H206" s="72"/>
      <c r="I206" s="25">
        <v>45310</v>
      </c>
      <c r="J206" s="101"/>
      <c r="K206" s="26"/>
      <c r="L206" s="26"/>
      <c r="M206" s="101"/>
      <c r="N206" s="62">
        <f t="shared" ref="N206:N211" si="8">J206*2%</f>
        <v>0</v>
      </c>
    </row>
    <row r="207" spans="1:14" ht="17.25" customHeight="1" x14ac:dyDescent="0.25">
      <c r="A207" s="21">
        <v>45268</v>
      </c>
      <c r="B207" s="22" t="s">
        <v>2302</v>
      </c>
      <c r="C207" s="22" t="s">
        <v>2303</v>
      </c>
      <c r="D207" s="22" t="s">
        <v>2243</v>
      </c>
      <c r="E207" s="22" t="s">
        <v>2244</v>
      </c>
      <c r="F207" s="22" t="s">
        <v>2304</v>
      </c>
      <c r="G207" s="24">
        <v>3957590</v>
      </c>
      <c r="H207" s="24">
        <f>G207*11%-1</f>
        <v>435333.9</v>
      </c>
      <c r="I207" s="85"/>
      <c r="J207" s="86"/>
      <c r="K207" s="87"/>
      <c r="L207" s="87"/>
      <c r="M207" s="86"/>
      <c r="N207" s="62">
        <f t="shared" si="8"/>
        <v>0</v>
      </c>
    </row>
    <row r="208" spans="1:14" ht="17.25" customHeight="1" x14ac:dyDescent="0.25">
      <c r="A208" s="88"/>
      <c r="B208" s="89"/>
      <c r="C208" s="89"/>
      <c r="D208" s="42"/>
      <c r="E208" s="42"/>
      <c r="F208" s="42"/>
      <c r="G208" s="43"/>
      <c r="H208" s="43"/>
      <c r="I208" s="85"/>
      <c r="J208" s="86"/>
      <c r="K208" s="87"/>
      <c r="L208" s="87"/>
      <c r="M208" s="86"/>
      <c r="N208" s="62">
        <f t="shared" si="8"/>
        <v>0</v>
      </c>
    </row>
    <row r="209" spans="1:14" ht="17.25" customHeight="1" x14ac:dyDescent="0.25">
      <c r="A209" s="88">
        <v>45268</v>
      </c>
      <c r="B209" s="89" t="s">
        <v>2305</v>
      </c>
      <c r="C209" s="89" t="s">
        <v>2306</v>
      </c>
      <c r="D209" s="42" t="s">
        <v>1998</v>
      </c>
      <c r="E209" s="42" t="s">
        <v>2307</v>
      </c>
      <c r="F209" s="42" t="s">
        <v>2308</v>
      </c>
      <c r="G209" s="43">
        <v>29373633</v>
      </c>
      <c r="H209" s="43">
        <f>G209*11%-1</f>
        <v>3231098.63</v>
      </c>
      <c r="I209" s="85"/>
      <c r="J209" s="86"/>
      <c r="K209" s="87"/>
      <c r="L209" s="87"/>
      <c r="M209" s="86"/>
      <c r="N209" s="62">
        <f t="shared" si="8"/>
        <v>0</v>
      </c>
    </row>
    <row r="210" spans="1:14" ht="17.25" customHeight="1" x14ac:dyDescent="0.25">
      <c r="A210" s="88">
        <v>45268</v>
      </c>
      <c r="B210" s="89" t="s">
        <v>2309</v>
      </c>
      <c r="C210" s="89" t="s">
        <v>2310</v>
      </c>
      <c r="D210" s="42" t="s">
        <v>1998</v>
      </c>
      <c r="E210" s="42" t="s">
        <v>2311</v>
      </c>
      <c r="F210" s="42" t="s">
        <v>2312</v>
      </c>
      <c r="G210" s="43">
        <v>9709132</v>
      </c>
      <c r="H210" s="43">
        <f>G210*11%-1</f>
        <v>1068003.52</v>
      </c>
      <c r="I210" s="85"/>
      <c r="J210" s="86"/>
      <c r="K210" s="87"/>
      <c r="L210" s="87"/>
      <c r="M210" s="86"/>
      <c r="N210" s="62">
        <f t="shared" si="8"/>
        <v>0</v>
      </c>
    </row>
    <row r="211" spans="1:14" ht="17.25" customHeight="1" x14ac:dyDescent="0.25">
      <c r="A211" s="88">
        <v>45268</v>
      </c>
      <c r="B211" s="89" t="s">
        <v>2313</v>
      </c>
      <c r="C211" s="89" t="s">
        <v>2314</v>
      </c>
      <c r="D211" s="42" t="s">
        <v>1998</v>
      </c>
      <c r="E211" s="42" t="s">
        <v>2315</v>
      </c>
      <c r="F211" s="42" t="s">
        <v>2316</v>
      </c>
      <c r="G211" s="43">
        <v>3318000</v>
      </c>
      <c r="H211" s="43">
        <f>G211*11%</f>
        <v>364980</v>
      </c>
      <c r="I211" s="85"/>
      <c r="J211" s="86"/>
      <c r="K211" s="87"/>
      <c r="L211" s="87"/>
      <c r="M211" s="86"/>
      <c r="N211" s="62">
        <f t="shared" si="8"/>
        <v>0</v>
      </c>
    </row>
    <row r="212" spans="1:14" ht="17.25" customHeight="1" x14ac:dyDescent="0.25">
      <c r="A212" s="88">
        <v>45268</v>
      </c>
      <c r="B212" s="89" t="s">
        <v>2317</v>
      </c>
      <c r="C212" s="89" t="s">
        <v>2318</v>
      </c>
      <c r="D212" s="42" t="s">
        <v>1998</v>
      </c>
      <c r="E212" s="42" t="s">
        <v>2319</v>
      </c>
      <c r="F212" s="42" t="s">
        <v>2316</v>
      </c>
      <c r="G212" s="43">
        <v>97991235</v>
      </c>
      <c r="H212" s="43">
        <f>G212*11%-1</f>
        <v>10779034.85</v>
      </c>
      <c r="I212" s="85"/>
      <c r="J212" s="86"/>
      <c r="K212" s="87"/>
      <c r="L212" s="87"/>
      <c r="M212" s="86"/>
      <c r="N212" s="62"/>
    </row>
    <row r="213" spans="1:14" ht="17.25" customHeight="1" x14ac:dyDescent="0.25">
      <c r="A213" s="88"/>
      <c r="B213" s="89"/>
      <c r="C213" s="89"/>
      <c r="D213" s="42"/>
      <c r="E213" s="42"/>
      <c r="F213" s="42"/>
      <c r="G213" s="43"/>
      <c r="H213" s="43"/>
      <c r="I213" s="33">
        <v>45308</v>
      </c>
      <c r="J213" s="112"/>
      <c r="K213" s="34"/>
      <c r="L213" s="34"/>
      <c r="M213" s="112"/>
      <c r="N213" s="62">
        <f>J213*2%</f>
        <v>0</v>
      </c>
    </row>
    <row r="214" spans="1:14" ht="17.25" customHeight="1" x14ac:dyDescent="0.25">
      <c r="A214" s="29">
        <v>45272</v>
      </c>
      <c r="B214" s="30" t="s">
        <v>2320</v>
      </c>
      <c r="C214" s="30" t="s">
        <v>2321</v>
      </c>
      <c r="D214" s="30" t="s">
        <v>2251</v>
      </c>
      <c r="E214" s="30" t="s">
        <v>2322</v>
      </c>
      <c r="F214" s="30" t="s">
        <v>1920</v>
      </c>
      <c r="G214" s="32">
        <v>84248000</v>
      </c>
      <c r="H214" s="32">
        <f>G214*11%</f>
        <v>9267280</v>
      </c>
      <c r="I214" s="85"/>
      <c r="J214" s="86"/>
      <c r="K214" s="87"/>
      <c r="L214" s="87"/>
      <c r="M214" s="86"/>
      <c r="N214" s="62"/>
    </row>
    <row r="215" spans="1:14" ht="17.25" customHeight="1" x14ac:dyDescent="0.25">
      <c r="A215" s="93"/>
      <c r="B215" s="92"/>
      <c r="C215" s="92"/>
      <c r="D215" s="71"/>
      <c r="E215" s="71"/>
      <c r="F215" s="71"/>
      <c r="G215" s="72"/>
      <c r="H215" s="72"/>
      <c r="I215" s="85"/>
      <c r="J215" s="86"/>
      <c r="K215" s="87"/>
      <c r="L215" s="87"/>
      <c r="M215" s="86"/>
      <c r="N215" s="62">
        <f>J215*2%</f>
        <v>0</v>
      </c>
    </row>
    <row r="216" spans="1:14" ht="17.25" customHeight="1" x14ac:dyDescent="0.25">
      <c r="A216" s="88">
        <v>45273</v>
      </c>
      <c r="B216" s="89" t="s">
        <v>2323</v>
      </c>
      <c r="C216" s="89" t="s">
        <v>2324</v>
      </c>
      <c r="D216" s="42" t="s">
        <v>1936</v>
      </c>
      <c r="E216" s="42" t="s">
        <v>2325</v>
      </c>
      <c r="F216" s="42" t="s">
        <v>1933</v>
      </c>
      <c r="G216" s="43">
        <v>27527800</v>
      </c>
      <c r="H216" s="43">
        <f>G216*11%</f>
        <v>3028058</v>
      </c>
      <c r="I216" s="85"/>
      <c r="J216" s="86"/>
      <c r="K216" s="87"/>
      <c r="L216" s="87"/>
      <c r="M216" s="86"/>
      <c r="N216" s="62"/>
    </row>
    <row r="217" spans="1:14" ht="17.25" customHeight="1" x14ac:dyDescent="0.25">
      <c r="A217" s="88"/>
      <c r="B217" s="89"/>
      <c r="C217" s="89"/>
      <c r="D217" s="42"/>
      <c r="E217" s="42"/>
      <c r="F217" s="42"/>
      <c r="G217" s="43"/>
      <c r="H217" s="43"/>
      <c r="I217" s="25">
        <v>45310</v>
      </c>
      <c r="J217" s="101"/>
      <c r="K217" s="26"/>
      <c r="L217" s="26"/>
      <c r="M217" s="101"/>
      <c r="N217" s="62">
        <f>J217*2%</f>
        <v>0</v>
      </c>
    </row>
    <row r="218" spans="1:14" ht="17.25" customHeight="1" x14ac:dyDescent="0.25">
      <c r="A218" s="21">
        <v>45273</v>
      </c>
      <c r="B218" s="22" t="s">
        <v>2326</v>
      </c>
      <c r="C218" s="22" t="s">
        <v>2327</v>
      </c>
      <c r="D218" s="22" t="s">
        <v>2124</v>
      </c>
      <c r="E218" s="22" t="s">
        <v>2328</v>
      </c>
      <c r="F218" s="22" t="s">
        <v>2329</v>
      </c>
      <c r="G218" s="24">
        <v>14618900</v>
      </c>
      <c r="H218" s="24">
        <f>G218*11%</f>
        <v>1608079</v>
      </c>
      <c r="I218" s="25"/>
      <c r="J218" s="101"/>
      <c r="K218" s="26"/>
      <c r="L218" s="26"/>
      <c r="M218" s="101"/>
      <c r="N218" s="62">
        <f>J218*2%</f>
        <v>0</v>
      </c>
    </row>
    <row r="219" spans="1:14" ht="17.25" customHeight="1" x14ac:dyDescent="0.25">
      <c r="A219" s="21">
        <v>45273</v>
      </c>
      <c r="B219" s="22" t="s">
        <v>2330</v>
      </c>
      <c r="C219" s="22" t="s">
        <v>2331</v>
      </c>
      <c r="D219" s="22" t="s">
        <v>2124</v>
      </c>
      <c r="E219" s="22" t="s">
        <v>2332</v>
      </c>
      <c r="F219" s="22" t="s">
        <v>2333</v>
      </c>
      <c r="G219" s="24">
        <v>6089140</v>
      </c>
      <c r="H219" s="24">
        <f>G219*11%</f>
        <v>669805.4</v>
      </c>
      <c r="I219" s="25"/>
      <c r="J219" s="101"/>
      <c r="K219" s="26"/>
      <c r="L219" s="26"/>
      <c r="M219" s="101"/>
      <c r="N219" s="62">
        <f>J219*2%</f>
        <v>0</v>
      </c>
    </row>
    <row r="220" spans="1:14" ht="17.25" customHeight="1" x14ac:dyDescent="0.25">
      <c r="A220" s="21">
        <v>45273</v>
      </c>
      <c r="B220" s="22" t="s">
        <v>2334</v>
      </c>
      <c r="C220" s="22" t="s">
        <v>2335</v>
      </c>
      <c r="D220" s="22" t="s">
        <v>2124</v>
      </c>
      <c r="E220" s="22" t="s">
        <v>2336</v>
      </c>
      <c r="F220" s="22" t="s">
        <v>2337</v>
      </c>
      <c r="G220" s="24">
        <v>5097600</v>
      </c>
      <c r="H220" s="24">
        <f>G220*11%</f>
        <v>560736</v>
      </c>
      <c r="I220" s="85"/>
      <c r="J220" s="86"/>
      <c r="K220" s="87"/>
      <c r="L220" s="87"/>
      <c r="M220" s="86"/>
      <c r="N220" s="62"/>
    </row>
    <row r="221" spans="1:14" ht="17.25" customHeight="1" x14ac:dyDescent="0.25">
      <c r="A221" s="88"/>
      <c r="B221" s="89"/>
      <c r="C221" s="89"/>
      <c r="D221" s="42"/>
      <c r="E221" s="42"/>
      <c r="F221" s="42"/>
      <c r="G221" s="43"/>
      <c r="H221" s="43"/>
      <c r="I221" s="25">
        <v>45310</v>
      </c>
      <c r="J221" s="101"/>
      <c r="K221" s="26"/>
      <c r="L221" s="26"/>
      <c r="M221" s="101"/>
      <c r="N221" s="62">
        <f>J221*2%</f>
        <v>0</v>
      </c>
    </row>
    <row r="222" spans="1:14" ht="17.25" customHeight="1" x14ac:dyDescent="0.25">
      <c r="A222" s="21">
        <v>45273</v>
      </c>
      <c r="B222" s="22" t="s">
        <v>2338</v>
      </c>
      <c r="C222" s="22" t="s">
        <v>2339</v>
      </c>
      <c r="D222" s="22" t="s">
        <v>1936</v>
      </c>
      <c r="E222" s="22" t="s">
        <v>2340</v>
      </c>
      <c r="F222" s="22" t="s">
        <v>2341</v>
      </c>
      <c r="G222" s="24">
        <v>1543161</v>
      </c>
      <c r="H222" s="24">
        <f>G222*11%-1</f>
        <v>169746.71</v>
      </c>
      <c r="I222" s="25"/>
      <c r="J222" s="101"/>
      <c r="K222" s="26"/>
      <c r="L222" s="26"/>
      <c r="M222" s="101"/>
      <c r="N222" s="62">
        <f>J222*2%</f>
        <v>0</v>
      </c>
    </row>
    <row r="223" spans="1:14" ht="17.25" customHeight="1" x14ac:dyDescent="0.25">
      <c r="A223" s="21">
        <v>45273</v>
      </c>
      <c r="B223" s="22" t="s">
        <v>2342</v>
      </c>
      <c r="C223" s="22" t="s">
        <v>2343</v>
      </c>
      <c r="D223" s="22" t="s">
        <v>1936</v>
      </c>
      <c r="E223" s="22" t="s">
        <v>2340</v>
      </c>
      <c r="F223" s="22" t="s">
        <v>1966</v>
      </c>
      <c r="G223" s="24">
        <v>64632869</v>
      </c>
      <c r="H223" s="24">
        <f>G223*11%-1</f>
        <v>7109614.5899999999</v>
      </c>
      <c r="I223" s="85"/>
      <c r="J223" s="86"/>
      <c r="K223" s="87"/>
      <c r="L223" s="87"/>
      <c r="M223" s="86"/>
      <c r="N223" s="62"/>
    </row>
    <row r="224" spans="1:14" ht="17.25" customHeight="1" x14ac:dyDescent="0.25">
      <c r="A224" s="88"/>
      <c r="B224" s="89"/>
      <c r="C224" s="89"/>
      <c r="D224" s="42"/>
      <c r="E224" s="42"/>
      <c r="F224" s="42"/>
      <c r="G224" s="43"/>
      <c r="H224" s="43"/>
      <c r="I224" s="85"/>
      <c r="J224" s="86"/>
      <c r="K224" s="87"/>
      <c r="L224" s="87"/>
      <c r="M224" s="86"/>
      <c r="N224" s="62">
        <f>J224*2%</f>
        <v>0</v>
      </c>
    </row>
    <row r="225" spans="1:14" ht="17.25" customHeight="1" x14ac:dyDescent="0.25">
      <c r="A225" s="88">
        <v>45273</v>
      </c>
      <c r="B225" s="89" t="s">
        <v>2344</v>
      </c>
      <c r="C225" s="89" t="s">
        <v>2345</v>
      </c>
      <c r="D225" s="42" t="s">
        <v>1936</v>
      </c>
      <c r="E225" s="42" t="s">
        <v>2340</v>
      </c>
      <c r="F225" s="42" t="s">
        <v>2029</v>
      </c>
      <c r="G225" s="43">
        <v>114139836</v>
      </c>
      <c r="H225" s="43">
        <f>G225*11%-1</f>
        <v>12555380.960000001</v>
      </c>
      <c r="I225" s="85"/>
      <c r="J225" s="86"/>
      <c r="K225" s="87"/>
      <c r="L225" s="87"/>
      <c r="M225" s="86"/>
      <c r="N225" s="62">
        <f>J225*2%</f>
        <v>0</v>
      </c>
    </row>
    <row r="226" spans="1:14" ht="17.25" customHeight="1" x14ac:dyDescent="0.25">
      <c r="A226" s="93">
        <v>45274</v>
      </c>
      <c r="B226" s="92" t="s">
        <v>2346</v>
      </c>
      <c r="C226" s="92" t="s">
        <v>2347</v>
      </c>
      <c r="D226" s="71" t="s">
        <v>1998</v>
      </c>
      <c r="E226" s="71" t="s">
        <v>2052</v>
      </c>
      <c r="F226" s="71" t="s">
        <v>1920</v>
      </c>
      <c r="G226" s="72">
        <v>3576000</v>
      </c>
      <c r="H226" s="72">
        <f>G226*11%</f>
        <v>393360</v>
      </c>
      <c r="I226" s="85"/>
      <c r="J226" s="86"/>
      <c r="K226" s="87"/>
      <c r="L226" s="87"/>
      <c r="M226" s="86"/>
      <c r="N226" s="62"/>
    </row>
    <row r="227" spans="1:14" ht="17.25" customHeight="1" x14ac:dyDescent="0.25">
      <c r="A227" s="93"/>
      <c r="B227" s="92"/>
      <c r="C227" s="92"/>
      <c r="D227" s="71"/>
      <c r="E227" s="71"/>
      <c r="F227" s="71"/>
      <c r="G227" s="72"/>
      <c r="H227" s="72"/>
      <c r="I227" s="25">
        <v>45310</v>
      </c>
      <c r="J227" s="101"/>
      <c r="K227" s="26"/>
      <c r="L227" s="26"/>
      <c r="M227" s="101"/>
      <c r="N227" s="62">
        <f>J227*2%</f>
        <v>0</v>
      </c>
    </row>
    <row r="228" spans="1:14" ht="17.25" customHeight="1" x14ac:dyDescent="0.25">
      <c r="A228" s="21">
        <v>45276</v>
      </c>
      <c r="B228" s="22" t="s">
        <v>2348</v>
      </c>
      <c r="C228" s="22" t="s">
        <v>2349</v>
      </c>
      <c r="D228" s="22" t="s">
        <v>1936</v>
      </c>
      <c r="E228" s="22" t="s">
        <v>2219</v>
      </c>
      <c r="F228" s="22" t="s">
        <v>2259</v>
      </c>
      <c r="G228" s="24">
        <v>44644900</v>
      </c>
      <c r="H228" s="24">
        <f>G228*11%</f>
        <v>4910939</v>
      </c>
      <c r="I228" s="85"/>
      <c r="J228" s="86"/>
      <c r="K228" s="87"/>
      <c r="L228" s="87"/>
      <c r="M228" s="86"/>
      <c r="N228" s="62"/>
    </row>
    <row r="229" spans="1:14" ht="17.25" customHeight="1" x14ac:dyDescent="0.25">
      <c r="A229" s="88"/>
      <c r="B229" s="89"/>
      <c r="C229" s="89"/>
      <c r="D229" s="42"/>
      <c r="E229" s="42"/>
      <c r="F229" s="42"/>
      <c r="G229" s="43"/>
      <c r="H229" s="43"/>
      <c r="I229" s="85"/>
      <c r="J229" s="86"/>
      <c r="K229" s="87"/>
      <c r="L229" s="87"/>
      <c r="M229" s="86"/>
      <c r="N229" s="62">
        <f>J229*2%</f>
        <v>0</v>
      </c>
    </row>
    <row r="230" spans="1:14" ht="17.25" customHeight="1" x14ac:dyDescent="0.25">
      <c r="A230" s="88">
        <v>45276</v>
      </c>
      <c r="B230" s="89" t="s">
        <v>2350</v>
      </c>
      <c r="C230" s="89" t="s">
        <v>2351</v>
      </c>
      <c r="D230" s="42" t="s">
        <v>1936</v>
      </c>
      <c r="E230" s="42" t="s">
        <v>2352</v>
      </c>
      <c r="F230" s="42" t="s">
        <v>2353</v>
      </c>
      <c r="G230" s="43">
        <v>7213700</v>
      </c>
      <c r="H230" s="43">
        <f>G230*11%</f>
        <v>793507</v>
      </c>
      <c r="I230" s="85"/>
      <c r="J230" s="86"/>
      <c r="K230" s="87"/>
      <c r="L230" s="87"/>
      <c r="M230" s="86"/>
      <c r="N230" s="62"/>
    </row>
    <row r="231" spans="1:14" ht="17.25" customHeight="1" x14ac:dyDescent="0.25">
      <c r="A231" s="88"/>
      <c r="B231" s="89"/>
      <c r="C231" s="89"/>
      <c r="D231" s="42"/>
      <c r="E231" s="42"/>
      <c r="F231" s="42"/>
      <c r="G231" s="43"/>
      <c r="H231" s="43"/>
      <c r="I231" s="25">
        <v>45296</v>
      </c>
      <c r="J231" s="101"/>
      <c r="K231" s="26"/>
      <c r="L231" s="26"/>
      <c r="M231" s="101"/>
      <c r="N231" s="62">
        <f>J231*2%</f>
        <v>0</v>
      </c>
    </row>
    <row r="232" spans="1:14" ht="17.25" customHeight="1" x14ac:dyDescent="0.25">
      <c r="A232" s="21">
        <v>45276</v>
      </c>
      <c r="B232" s="22" t="s">
        <v>2354</v>
      </c>
      <c r="C232" s="22" t="s">
        <v>2355</v>
      </c>
      <c r="D232" s="22" t="s">
        <v>1936</v>
      </c>
      <c r="E232" s="22" t="s">
        <v>2352</v>
      </c>
      <c r="F232" s="22" t="s">
        <v>2015</v>
      </c>
      <c r="G232" s="24">
        <v>11390100</v>
      </c>
      <c r="H232" s="24">
        <f>G232*11%</f>
        <v>1252911</v>
      </c>
      <c r="I232" s="85"/>
      <c r="J232" s="86"/>
      <c r="K232" s="87"/>
      <c r="L232" s="87"/>
      <c r="M232" s="86"/>
      <c r="N232" s="62"/>
    </row>
    <row r="233" spans="1:14" ht="17.25" customHeight="1" x14ac:dyDescent="0.25">
      <c r="A233" s="88"/>
      <c r="B233" s="89"/>
      <c r="C233" s="89"/>
      <c r="D233" s="42"/>
      <c r="E233" s="42"/>
      <c r="F233" s="42"/>
      <c r="G233" s="43"/>
      <c r="H233" s="43"/>
      <c r="I233" s="105">
        <v>45321</v>
      </c>
      <c r="J233" s="106"/>
      <c r="K233" s="107"/>
      <c r="L233" s="107"/>
      <c r="M233" s="106"/>
      <c r="N233" s="62"/>
    </row>
    <row r="234" spans="1:14" ht="17.25" customHeight="1" x14ac:dyDescent="0.25">
      <c r="A234" s="102">
        <v>45239</v>
      </c>
      <c r="B234" s="103" t="s">
        <v>2105</v>
      </c>
      <c r="C234" s="103" t="s">
        <v>2106</v>
      </c>
      <c r="D234" s="103" t="s">
        <v>1998</v>
      </c>
      <c r="E234" s="103" t="s">
        <v>2107</v>
      </c>
      <c r="F234" s="103" t="s">
        <v>2108</v>
      </c>
      <c r="G234" s="104">
        <v>375830</v>
      </c>
      <c r="H234" s="104">
        <f>G234*11%</f>
        <v>41341.300000000003</v>
      </c>
      <c r="I234" s="105"/>
      <c r="J234" s="106"/>
      <c r="K234" s="107" t="s">
        <v>2049</v>
      </c>
      <c r="L234" s="107"/>
      <c r="M234" s="106"/>
      <c r="N234" s="62"/>
    </row>
    <row r="235" spans="1:14" ht="17.25" customHeight="1" x14ac:dyDescent="0.25">
      <c r="A235" s="102">
        <v>45252</v>
      </c>
      <c r="B235" s="103" t="s">
        <v>2356</v>
      </c>
      <c r="C235" s="103" t="s">
        <v>2357</v>
      </c>
      <c r="D235" s="103" t="s">
        <v>1998</v>
      </c>
      <c r="E235" s="103" t="s">
        <v>2358</v>
      </c>
      <c r="F235" s="103" t="s">
        <v>1966</v>
      </c>
      <c r="G235" s="104">
        <v>798000</v>
      </c>
      <c r="H235" s="104">
        <f>G235*11%</f>
        <v>87780</v>
      </c>
      <c r="I235" s="105"/>
      <c r="J235" s="106"/>
      <c r="K235" s="107" t="s">
        <v>2049</v>
      </c>
      <c r="L235" s="107"/>
      <c r="M235" s="106"/>
      <c r="N235" s="62"/>
    </row>
    <row r="236" spans="1:14" ht="17.25" customHeight="1" x14ac:dyDescent="0.25">
      <c r="A236" s="102">
        <v>45252</v>
      </c>
      <c r="B236" s="103" t="s">
        <v>2359</v>
      </c>
      <c r="C236" s="103" t="s">
        <v>2360</v>
      </c>
      <c r="D236" s="103" t="s">
        <v>1998</v>
      </c>
      <c r="E236" s="103" t="s">
        <v>2361</v>
      </c>
      <c r="F236" s="103" t="s">
        <v>1938</v>
      </c>
      <c r="G236" s="104">
        <v>1490770</v>
      </c>
      <c r="H236" s="104">
        <f>G236*11%-1</f>
        <v>163983.70000000001</v>
      </c>
      <c r="I236" s="105"/>
      <c r="J236" s="106"/>
      <c r="K236" s="107" t="s">
        <v>2049</v>
      </c>
      <c r="L236" s="107"/>
      <c r="M236" s="106"/>
      <c r="N236" s="62"/>
    </row>
    <row r="237" spans="1:14" ht="17.25" customHeight="1" x14ac:dyDescent="0.25">
      <c r="A237" s="102">
        <v>45252</v>
      </c>
      <c r="B237" s="103" t="s">
        <v>2362</v>
      </c>
      <c r="C237" s="103" t="s">
        <v>2363</v>
      </c>
      <c r="D237" s="103" t="s">
        <v>1998</v>
      </c>
      <c r="E237" s="103" t="s">
        <v>2361</v>
      </c>
      <c r="F237" s="103" t="s">
        <v>1979</v>
      </c>
      <c r="G237" s="104">
        <v>31387</v>
      </c>
      <c r="H237" s="104">
        <f>G237*11%-1</f>
        <v>3451.57</v>
      </c>
      <c r="I237" s="105"/>
      <c r="J237" s="106"/>
      <c r="K237" s="107" t="s">
        <v>2049</v>
      </c>
      <c r="L237" s="107"/>
      <c r="M237" s="106"/>
      <c r="N237" s="62"/>
    </row>
    <row r="238" spans="1:14" ht="17.25" customHeight="1" x14ac:dyDescent="0.25">
      <c r="A238" s="102">
        <v>45252</v>
      </c>
      <c r="B238" s="103" t="s">
        <v>2364</v>
      </c>
      <c r="C238" s="103" t="s">
        <v>2365</v>
      </c>
      <c r="D238" s="103" t="s">
        <v>1998</v>
      </c>
      <c r="E238" s="103" t="s">
        <v>2366</v>
      </c>
      <c r="F238" s="103" t="s">
        <v>2130</v>
      </c>
      <c r="G238" s="104">
        <v>256784</v>
      </c>
      <c r="H238" s="104">
        <f>G238*11%</f>
        <v>28246.240000000002</v>
      </c>
      <c r="I238" s="105"/>
      <c r="J238" s="106"/>
      <c r="K238" s="107" t="s">
        <v>2049</v>
      </c>
      <c r="L238" s="107"/>
      <c r="M238" s="106"/>
      <c r="N238" s="62"/>
    </row>
    <row r="239" spans="1:14" ht="17.25" customHeight="1" x14ac:dyDescent="0.25">
      <c r="A239" s="102">
        <v>45252</v>
      </c>
      <c r="B239" s="103" t="s">
        <v>2367</v>
      </c>
      <c r="C239" s="103" t="s">
        <v>2368</v>
      </c>
      <c r="D239" s="103" t="s">
        <v>1998</v>
      </c>
      <c r="E239" s="103" t="s">
        <v>2369</v>
      </c>
      <c r="F239" s="103" t="s">
        <v>2130</v>
      </c>
      <c r="G239" s="104">
        <v>387450</v>
      </c>
      <c r="H239" s="104">
        <f>G239*11%-1</f>
        <v>42618.5</v>
      </c>
      <c r="I239" s="105"/>
      <c r="J239" s="106"/>
      <c r="K239" s="107" t="s">
        <v>2049</v>
      </c>
      <c r="L239" s="107"/>
      <c r="M239" s="106"/>
      <c r="N239" s="62"/>
    </row>
    <row r="240" spans="1:14" ht="17.25" customHeight="1" x14ac:dyDescent="0.25">
      <c r="A240" s="102">
        <v>45252</v>
      </c>
      <c r="B240" s="103" t="s">
        <v>2370</v>
      </c>
      <c r="C240" s="103" t="s">
        <v>2371</v>
      </c>
      <c r="D240" s="103" t="s">
        <v>1998</v>
      </c>
      <c r="E240" s="103" t="s">
        <v>2372</v>
      </c>
      <c r="F240" s="103" t="s">
        <v>2130</v>
      </c>
      <c r="G240" s="104">
        <v>93200</v>
      </c>
      <c r="H240" s="104">
        <f>G240*11%</f>
        <v>10252</v>
      </c>
      <c r="I240" s="105"/>
      <c r="J240" s="106"/>
      <c r="K240" s="107" t="s">
        <v>2049</v>
      </c>
      <c r="L240" s="107"/>
      <c r="M240" s="106"/>
      <c r="N240" s="62"/>
    </row>
    <row r="241" spans="1:14" ht="17.25" customHeight="1" x14ac:dyDescent="0.25">
      <c r="A241" s="102">
        <v>45252</v>
      </c>
      <c r="B241" s="103" t="s">
        <v>2373</v>
      </c>
      <c r="C241" s="103" t="s">
        <v>2374</v>
      </c>
      <c r="D241" s="103" t="s">
        <v>1998</v>
      </c>
      <c r="E241" s="103" t="s">
        <v>2375</v>
      </c>
      <c r="F241" s="103" t="s">
        <v>2130</v>
      </c>
      <c r="G241" s="104">
        <v>569434</v>
      </c>
      <c r="H241" s="104">
        <f>G241*11%-1</f>
        <v>62636.74</v>
      </c>
      <c r="I241" s="105"/>
      <c r="J241" s="106"/>
      <c r="K241" s="107" t="s">
        <v>2049</v>
      </c>
      <c r="L241" s="107"/>
      <c r="M241" s="106"/>
      <c r="N241" s="62"/>
    </row>
    <row r="242" spans="1:14" ht="17.25" customHeight="1" x14ac:dyDescent="0.25">
      <c r="A242" s="102">
        <v>45252</v>
      </c>
      <c r="B242" s="103" t="s">
        <v>2376</v>
      </c>
      <c r="C242" s="103" t="s">
        <v>2377</v>
      </c>
      <c r="D242" s="103" t="s">
        <v>1998</v>
      </c>
      <c r="E242" s="103" t="s">
        <v>2378</v>
      </c>
      <c r="F242" s="103" t="s">
        <v>2130</v>
      </c>
      <c r="G242" s="104">
        <v>858201</v>
      </c>
      <c r="H242" s="104">
        <f>G242*11%</f>
        <v>94402.11</v>
      </c>
      <c r="I242" s="105"/>
      <c r="J242" s="106"/>
      <c r="K242" s="107" t="s">
        <v>2049</v>
      </c>
      <c r="L242" s="107"/>
      <c r="M242" s="106"/>
      <c r="N242" s="62"/>
    </row>
    <row r="243" spans="1:14" ht="17.25" customHeight="1" x14ac:dyDescent="0.25">
      <c r="A243" s="102">
        <v>45252</v>
      </c>
      <c r="B243" s="103" t="s">
        <v>2379</v>
      </c>
      <c r="C243" s="103" t="s">
        <v>2380</v>
      </c>
      <c r="D243" s="103" t="s">
        <v>1998</v>
      </c>
      <c r="E243" s="103" t="s">
        <v>2381</v>
      </c>
      <c r="F243" s="103" t="s">
        <v>2130</v>
      </c>
      <c r="G243" s="104">
        <v>1627500</v>
      </c>
      <c r="H243" s="104">
        <f>G243*11%</f>
        <v>179025</v>
      </c>
      <c r="I243" s="105"/>
      <c r="J243" s="106"/>
      <c r="K243" s="107" t="s">
        <v>2049</v>
      </c>
      <c r="L243" s="107"/>
      <c r="M243" s="106"/>
      <c r="N243" s="62"/>
    </row>
    <row r="244" spans="1:14" ht="17.25" customHeight="1" x14ac:dyDescent="0.25">
      <c r="A244" s="102">
        <v>45252</v>
      </c>
      <c r="B244" s="103" t="s">
        <v>2382</v>
      </c>
      <c r="C244" s="103" t="s">
        <v>2383</v>
      </c>
      <c r="D244" s="103" t="s">
        <v>1998</v>
      </c>
      <c r="E244" s="103" t="s">
        <v>2366</v>
      </c>
      <c r="F244" s="103" t="s">
        <v>1933</v>
      </c>
      <c r="G244" s="104">
        <v>256785</v>
      </c>
      <c r="H244" s="104">
        <f>G244*11%</f>
        <v>28246.35</v>
      </c>
      <c r="I244" s="105"/>
      <c r="J244" s="106"/>
      <c r="K244" s="107" t="s">
        <v>2049</v>
      </c>
      <c r="L244" s="107"/>
      <c r="M244" s="106"/>
      <c r="N244" s="62"/>
    </row>
    <row r="245" spans="1:14" ht="17.25" customHeight="1" x14ac:dyDescent="0.25">
      <c r="A245" s="102">
        <v>45252</v>
      </c>
      <c r="B245" s="103" t="s">
        <v>2384</v>
      </c>
      <c r="C245" s="103" t="s">
        <v>2385</v>
      </c>
      <c r="D245" s="103" t="s">
        <v>1998</v>
      </c>
      <c r="E245" s="103" t="s">
        <v>2372</v>
      </c>
      <c r="F245" s="103" t="s">
        <v>1933</v>
      </c>
      <c r="G245" s="104">
        <v>14934</v>
      </c>
      <c r="H245" s="104">
        <f>G245*11%-1</f>
        <v>1641.74</v>
      </c>
      <c r="I245" s="105"/>
      <c r="J245" s="106"/>
      <c r="K245" s="107" t="s">
        <v>2049</v>
      </c>
      <c r="L245" s="107"/>
      <c r="M245" s="106"/>
      <c r="N245" s="62"/>
    </row>
    <row r="246" spans="1:14" ht="17.25" customHeight="1" x14ac:dyDescent="0.25">
      <c r="A246" s="102">
        <v>45252</v>
      </c>
      <c r="B246" s="103" t="s">
        <v>2386</v>
      </c>
      <c r="C246" s="103" t="s">
        <v>2387</v>
      </c>
      <c r="D246" s="103" t="s">
        <v>1998</v>
      </c>
      <c r="E246" s="103" t="s">
        <v>2375</v>
      </c>
      <c r="F246" s="103" t="s">
        <v>1933</v>
      </c>
      <c r="G246" s="104">
        <v>328666</v>
      </c>
      <c r="H246" s="104">
        <f>G246*11%</f>
        <v>36153.26</v>
      </c>
      <c r="I246" s="105"/>
      <c r="J246" s="106"/>
      <c r="K246" s="107" t="s">
        <v>2049</v>
      </c>
      <c r="L246" s="107"/>
      <c r="M246" s="106"/>
      <c r="N246" s="62"/>
    </row>
    <row r="247" spans="1:14" ht="17.25" customHeight="1" x14ac:dyDescent="0.25">
      <c r="A247" s="102">
        <v>45252</v>
      </c>
      <c r="B247" s="103" t="s">
        <v>2388</v>
      </c>
      <c r="C247" s="103" t="s">
        <v>2389</v>
      </c>
      <c r="D247" s="103" t="s">
        <v>1998</v>
      </c>
      <c r="E247" s="103" t="s">
        <v>2378</v>
      </c>
      <c r="F247" s="103" t="s">
        <v>1933</v>
      </c>
      <c r="G247" s="104">
        <v>273550</v>
      </c>
      <c r="H247" s="104">
        <f>G247*11%-1</f>
        <v>30089.5</v>
      </c>
      <c r="I247" s="105"/>
      <c r="J247" s="106"/>
      <c r="K247" s="107" t="s">
        <v>2049</v>
      </c>
      <c r="L247" s="107"/>
      <c r="M247" s="106"/>
      <c r="N247" s="62"/>
    </row>
    <row r="248" spans="1:14" ht="17.25" customHeight="1" x14ac:dyDescent="0.25">
      <c r="A248" s="102">
        <v>45252</v>
      </c>
      <c r="B248" s="103" t="s">
        <v>2390</v>
      </c>
      <c r="C248" s="103" t="s">
        <v>2391</v>
      </c>
      <c r="D248" s="103" t="s">
        <v>1998</v>
      </c>
      <c r="E248" s="103" t="s">
        <v>2381</v>
      </c>
      <c r="F248" s="103" t="s">
        <v>1933</v>
      </c>
      <c r="G248" s="104">
        <v>1599900</v>
      </c>
      <c r="H248" s="104">
        <f t="shared" ref="H248:H254" si="9">G248*11%</f>
        <v>175989</v>
      </c>
      <c r="I248" s="105"/>
      <c r="J248" s="106"/>
      <c r="K248" s="107" t="s">
        <v>2049</v>
      </c>
      <c r="L248" s="107"/>
      <c r="M248" s="106"/>
      <c r="N248" s="62"/>
    </row>
    <row r="249" spans="1:14" ht="17.25" customHeight="1" x14ac:dyDescent="0.25">
      <c r="A249" s="102">
        <v>45252</v>
      </c>
      <c r="B249" s="103" t="s">
        <v>2392</v>
      </c>
      <c r="C249" s="103" t="s">
        <v>2393</v>
      </c>
      <c r="D249" s="103" t="s">
        <v>1998</v>
      </c>
      <c r="E249" s="103" t="s">
        <v>2366</v>
      </c>
      <c r="F249" s="103" t="s">
        <v>1966</v>
      </c>
      <c r="G249" s="104">
        <v>248500</v>
      </c>
      <c r="H249" s="104">
        <f t="shared" si="9"/>
        <v>27335</v>
      </c>
      <c r="I249" s="105"/>
      <c r="J249" s="106"/>
      <c r="K249" s="107" t="s">
        <v>2049</v>
      </c>
      <c r="L249" s="107"/>
      <c r="M249" s="106"/>
      <c r="N249" s="62"/>
    </row>
    <row r="250" spans="1:14" ht="17.25" customHeight="1" x14ac:dyDescent="0.25">
      <c r="A250" s="102">
        <v>45252</v>
      </c>
      <c r="B250" s="103" t="s">
        <v>2394</v>
      </c>
      <c r="C250" s="103" t="s">
        <v>2395</v>
      </c>
      <c r="D250" s="103" t="s">
        <v>1998</v>
      </c>
      <c r="E250" s="103" t="s">
        <v>2375</v>
      </c>
      <c r="F250" s="103" t="s">
        <v>1966</v>
      </c>
      <c r="G250" s="104">
        <v>296000</v>
      </c>
      <c r="H250" s="104">
        <f t="shared" si="9"/>
        <v>32560</v>
      </c>
      <c r="I250" s="105"/>
      <c r="J250" s="106"/>
      <c r="K250" s="107" t="s">
        <v>2049</v>
      </c>
      <c r="L250" s="107"/>
      <c r="M250" s="106"/>
      <c r="N250" s="62"/>
    </row>
    <row r="251" spans="1:14" ht="17.25" customHeight="1" x14ac:dyDescent="0.25">
      <c r="A251" s="102">
        <v>45252</v>
      </c>
      <c r="B251" s="103" t="s">
        <v>2396</v>
      </c>
      <c r="C251" s="103" t="s">
        <v>2397</v>
      </c>
      <c r="D251" s="103" t="s">
        <v>1998</v>
      </c>
      <c r="E251" s="103" t="s">
        <v>2378</v>
      </c>
      <c r="F251" s="103" t="s">
        <v>1966</v>
      </c>
      <c r="G251" s="104">
        <v>101500</v>
      </c>
      <c r="H251" s="104">
        <f t="shared" si="9"/>
        <v>11165</v>
      </c>
      <c r="I251" s="105"/>
      <c r="J251" s="106"/>
      <c r="K251" s="107" t="s">
        <v>2049</v>
      </c>
      <c r="L251" s="107"/>
      <c r="M251" s="106"/>
      <c r="N251" s="62"/>
    </row>
    <row r="252" spans="1:14" ht="17.25" customHeight="1" x14ac:dyDescent="0.25">
      <c r="A252" s="102">
        <v>45252</v>
      </c>
      <c r="B252" s="103" t="s">
        <v>2398</v>
      </c>
      <c r="C252" s="103" t="s">
        <v>2399</v>
      </c>
      <c r="D252" s="103" t="s">
        <v>1998</v>
      </c>
      <c r="E252" s="103" t="s">
        <v>2381</v>
      </c>
      <c r="F252" s="103" t="s">
        <v>1966</v>
      </c>
      <c r="G252" s="104">
        <v>1443000</v>
      </c>
      <c r="H252" s="104">
        <f t="shared" si="9"/>
        <v>158730</v>
      </c>
      <c r="I252" s="104"/>
      <c r="J252" s="106"/>
      <c r="K252" s="107"/>
      <c r="L252" s="107"/>
      <c r="M252" s="106"/>
      <c r="N252" s="62"/>
    </row>
    <row r="253" spans="1:14" ht="17.25" customHeight="1" x14ac:dyDescent="0.25">
      <c r="A253" s="102">
        <v>45265</v>
      </c>
      <c r="B253" s="103" t="s">
        <v>2400</v>
      </c>
      <c r="C253" s="103" t="s">
        <v>2401</v>
      </c>
      <c r="D253" s="103" t="s">
        <v>1998</v>
      </c>
      <c r="E253" s="103" t="s">
        <v>1999</v>
      </c>
      <c r="F253" s="103" t="s">
        <v>2029</v>
      </c>
      <c r="G253" s="104">
        <v>798000</v>
      </c>
      <c r="H253" s="104">
        <f t="shared" si="9"/>
        <v>87780</v>
      </c>
      <c r="I253" s="104"/>
      <c r="J253" s="106"/>
      <c r="K253" s="107"/>
      <c r="L253" s="107"/>
      <c r="M253" s="106"/>
      <c r="N253" s="62"/>
    </row>
    <row r="254" spans="1:14" ht="17.25" customHeight="1" x14ac:dyDescent="0.25">
      <c r="A254" s="102">
        <v>45268</v>
      </c>
      <c r="B254" s="103" t="s">
        <v>2402</v>
      </c>
      <c r="C254" s="103" t="s">
        <v>2403</v>
      </c>
      <c r="D254" s="103" t="s">
        <v>1998</v>
      </c>
      <c r="E254" s="103" t="s">
        <v>2404</v>
      </c>
      <c r="F254" s="103" t="s">
        <v>2405</v>
      </c>
      <c r="G254" s="104">
        <v>463613</v>
      </c>
      <c r="H254" s="104">
        <f t="shared" si="9"/>
        <v>50997.43</v>
      </c>
      <c r="I254" s="104"/>
      <c r="J254" s="106"/>
      <c r="K254" s="107"/>
      <c r="L254" s="107"/>
      <c r="M254" s="106"/>
      <c r="N254" s="62"/>
    </row>
    <row r="255" spans="1:14" ht="17.25" customHeight="1" x14ac:dyDescent="0.25">
      <c r="A255" s="102">
        <v>45268</v>
      </c>
      <c r="B255" s="103" t="s">
        <v>2406</v>
      </c>
      <c r="C255" s="103" t="s">
        <v>2407</v>
      </c>
      <c r="D255" s="103" t="s">
        <v>1998</v>
      </c>
      <c r="E255" s="103" t="s">
        <v>2408</v>
      </c>
      <c r="F255" s="103" t="s">
        <v>2405</v>
      </c>
      <c r="G255" s="104">
        <v>53334</v>
      </c>
      <c r="H255" s="104">
        <f>G255*11%-1</f>
        <v>5865.74</v>
      </c>
      <c r="I255" s="85"/>
      <c r="J255" s="86"/>
      <c r="K255" s="87"/>
      <c r="L255" s="87"/>
      <c r="M255" s="86"/>
      <c r="N255" s="62"/>
    </row>
    <row r="256" spans="1:14" ht="17.25" customHeight="1" x14ac:dyDescent="0.25">
      <c r="A256" s="88"/>
      <c r="B256" s="89"/>
      <c r="C256" s="89"/>
      <c r="D256" s="42"/>
      <c r="E256" s="42"/>
      <c r="F256" s="42"/>
      <c r="G256" s="43"/>
      <c r="H256" s="43"/>
      <c r="I256" s="85"/>
      <c r="J256" s="86"/>
      <c r="K256" s="87"/>
      <c r="L256" s="87"/>
      <c r="M256" s="86"/>
      <c r="N256" s="62">
        <f t="shared" ref="N256:N265" si="10">J256*2%</f>
        <v>0</v>
      </c>
    </row>
    <row r="257" spans="1:14" ht="17.25" customHeight="1" x14ac:dyDescent="0.25">
      <c r="A257" s="88">
        <v>45276</v>
      </c>
      <c r="B257" s="89" t="s">
        <v>2409</v>
      </c>
      <c r="C257" s="89" t="s">
        <v>2410</v>
      </c>
      <c r="D257" s="42" t="s">
        <v>1936</v>
      </c>
      <c r="E257" s="42" t="s">
        <v>2352</v>
      </c>
      <c r="F257" s="42" t="s">
        <v>1933</v>
      </c>
      <c r="G257" s="43">
        <v>11390100</v>
      </c>
      <c r="H257" s="43">
        <f>G257*11%</f>
        <v>1252911</v>
      </c>
      <c r="I257" s="85"/>
      <c r="J257" s="86"/>
      <c r="K257" s="87"/>
      <c r="L257" s="87"/>
      <c r="M257" s="86"/>
      <c r="N257" s="62">
        <f t="shared" si="10"/>
        <v>0</v>
      </c>
    </row>
    <row r="258" spans="1:14" ht="17.25" customHeight="1" x14ac:dyDescent="0.25">
      <c r="A258" s="88">
        <v>45276</v>
      </c>
      <c r="B258" s="89" t="s">
        <v>2411</v>
      </c>
      <c r="C258" s="89" t="s">
        <v>2412</v>
      </c>
      <c r="D258" s="42" t="s">
        <v>1936</v>
      </c>
      <c r="E258" s="42" t="s">
        <v>2352</v>
      </c>
      <c r="F258" s="42" t="s">
        <v>1966</v>
      </c>
      <c r="G258" s="43">
        <v>2897660</v>
      </c>
      <c r="H258" s="43">
        <f>G258*11%-1</f>
        <v>318741.59999999998</v>
      </c>
      <c r="I258" s="85"/>
      <c r="J258" s="86"/>
      <c r="K258" s="87"/>
      <c r="L258" s="87"/>
      <c r="M258" s="86"/>
      <c r="N258" s="62">
        <f t="shared" si="10"/>
        <v>0</v>
      </c>
    </row>
    <row r="259" spans="1:14" ht="17.25" customHeight="1" x14ac:dyDescent="0.25">
      <c r="A259" s="93">
        <v>45276</v>
      </c>
      <c r="B259" s="92" t="s">
        <v>2413</v>
      </c>
      <c r="C259" s="92" t="s">
        <v>2414</v>
      </c>
      <c r="D259" s="71" t="s">
        <v>1998</v>
      </c>
      <c r="E259" s="71" t="s">
        <v>2111</v>
      </c>
      <c r="F259" s="71" t="s">
        <v>1920</v>
      </c>
      <c r="G259" s="72">
        <v>4100000</v>
      </c>
      <c r="H259" s="72">
        <f t="shared" ref="H259:H265" si="11">G259*11%</f>
        <v>451000</v>
      </c>
      <c r="I259" s="85"/>
      <c r="J259" s="86"/>
      <c r="K259" s="87"/>
      <c r="L259" s="87"/>
      <c r="M259" s="86"/>
      <c r="N259" s="62">
        <f t="shared" si="10"/>
        <v>0</v>
      </c>
    </row>
    <row r="260" spans="1:14" ht="17.25" customHeight="1" x14ac:dyDescent="0.25">
      <c r="A260" s="88">
        <v>45278</v>
      </c>
      <c r="B260" s="89" t="s">
        <v>2415</v>
      </c>
      <c r="C260" s="89" t="s">
        <v>2416</v>
      </c>
      <c r="D260" s="42" t="s">
        <v>2075</v>
      </c>
      <c r="E260" s="42" t="s">
        <v>2417</v>
      </c>
      <c r="F260" s="42" t="s">
        <v>2418</v>
      </c>
      <c r="G260" s="43">
        <v>9094919</v>
      </c>
      <c r="H260" s="43">
        <f t="shared" si="11"/>
        <v>1000441.09</v>
      </c>
      <c r="I260" s="85"/>
      <c r="J260" s="86"/>
      <c r="K260" s="87"/>
      <c r="L260" s="87"/>
      <c r="M260" s="86"/>
      <c r="N260" s="62">
        <f t="shared" si="10"/>
        <v>0</v>
      </c>
    </row>
    <row r="261" spans="1:14" ht="17.25" customHeight="1" x14ac:dyDescent="0.25">
      <c r="A261" s="88">
        <v>45281</v>
      </c>
      <c r="B261" s="89" t="s">
        <v>2419</v>
      </c>
      <c r="C261" s="89" t="s">
        <v>2420</v>
      </c>
      <c r="D261" s="42" t="s">
        <v>1936</v>
      </c>
      <c r="E261" s="42" t="s">
        <v>2421</v>
      </c>
      <c r="F261" s="42" t="s">
        <v>1966</v>
      </c>
      <c r="G261" s="43">
        <v>44247000</v>
      </c>
      <c r="H261" s="43">
        <f t="shared" si="11"/>
        <v>4867170</v>
      </c>
      <c r="I261" s="85"/>
      <c r="J261" s="86"/>
      <c r="K261" s="87"/>
      <c r="L261" s="87"/>
      <c r="M261" s="86"/>
      <c r="N261" s="62">
        <f t="shared" si="10"/>
        <v>0</v>
      </c>
    </row>
    <row r="262" spans="1:14" ht="17.25" customHeight="1" x14ac:dyDescent="0.25">
      <c r="A262" s="88">
        <v>45281</v>
      </c>
      <c r="B262" s="89" t="s">
        <v>2422</v>
      </c>
      <c r="C262" s="89" t="s">
        <v>2423</v>
      </c>
      <c r="D262" s="42" t="s">
        <v>1936</v>
      </c>
      <c r="E262" s="42" t="s">
        <v>2421</v>
      </c>
      <c r="F262" s="42" t="s">
        <v>2029</v>
      </c>
      <c r="G262" s="43">
        <v>36266200</v>
      </c>
      <c r="H262" s="43">
        <f t="shared" si="11"/>
        <v>3989282</v>
      </c>
      <c r="I262" s="85"/>
      <c r="J262" s="86"/>
      <c r="K262" s="87"/>
      <c r="L262" s="87"/>
      <c r="M262" s="86"/>
      <c r="N262" s="62">
        <f t="shared" si="10"/>
        <v>0</v>
      </c>
    </row>
    <row r="263" spans="1:14" ht="17.25" customHeight="1" x14ac:dyDescent="0.25">
      <c r="A263" s="88">
        <v>45281</v>
      </c>
      <c r="B263" s="89" t="s">
        <v>2424</v>
      </c>
      <c r="C263" s="89" t="s">
        <v>2425</v>
      </c>
      <c r="D263" s="42" t="s">
        <v>1936</v>
      </c>
      <c r="E263" s="42" t="s">
        <v>2426</v>
      </c>
      <c r="F263" s="42" t="s">
        <v>1966</v>
      </c>
      <c r="G263" s="43">
        <v>73386400</v>
      </c>
      <c r="H263" s="43">
        <f t="shared" si="11"/>
        <v>8072504</v>
      </c>
      <c r="I263" s="85"/>
      <c r="J263" s="86"/>
      <c r="K263" s="87"/>
      <c r="L263" s="87"/>
      <c r="M263" s="86"/>
      <c r="N263" s="62">
        <f t="shared" si="10"/>
        <v>0</v>
      </c>
    </row>
    <row r="264" spans="1:14" ht="17.25" customHeight="1" x14ac:dyDescent="0.25">
      <c r="A264" s="88">
        <v>45281</v>
      </c>
      <c r="B264" s="89" t="s">
        <v>2427</v>
      </c>
      <c r="C264" s="89" t="s">
        <v>2428</v>
      </c>
      <c r="D264" s="42" t="s">
        <v>1936</v>
      </c>
      <c r="E264" s="42" t="s">
        <v>2426</v>
      </c>
      <c r="F264" s="42" t="s">
        <v>2029</v>
      </c>
      <c r="G264" s="43">
        <v>64799900</v>
      </c>
      <c r="H264" s="43">
        <f t="shared" si="11"/>
        <v>7127989</v>
      </c>
      <c r="I264" s="85"/>
      <c r="J264" s="86"/>
      <c r="K264" s="87"/>
      <c r="L264" s="87"/>
      <c r="M264" s="86"/>
      <c r="N264" s="62">
        <f t="shared" si="10"/>
        <v>0</v>
      </c>
    </row>
    <row r="265" spans="1:14" ht="17.25" customHeight="1" x14ac:dyDescent="0.25">
      <c r="A265" s="88">
        <v>45281</v>
      </c>
      <c r="B265" s="89" t="s">
        <v>2429</v>
      </c>
      <c r="C265" s="89" t="s">
        <v>2430</v>
      </c>
      <c r="D265" s="42" t="s">
        <v>1892</v>
      </c>
      <c r="E265" s="42" t="s">
        <v>2431</v>
      </c>
      <c r="F265" s="42" t="s">
        <v>2432</v>
      </c>
      <c r="G265" s="43">
        <v>2864867</v>
      </c>
      <c r="H265" s="43">
        <f t="shared" si="11"/>
        <v>315135.37</v>
      </c>
      <c r="I265" s="85"/>
      <c r="J265" s="86"/>
      <c r="K265" s="87"/>
      <c r="L265" s="87"/>
      <c r="M265" s="86"/>
      <c r="N265" s="62">
        <f t="shared" si="10"/>
        <v>0</v>
      </c>
    </row>
    <row r="266" spans="1:14" ht="17.25" customHeight="1" x14ac:dyDescent="0.25">
      <c r="A266" s="88">
        <v>45281</v>
      </c>
      <c r="B266" s="89" t="s">
        <v>2433</v>
      </c>
      <c r="C266" s="89" t="s">
        <v>2434</v>
      </c>
      <c r="D266" s="42" t="s">
        <v>1892</v>
      </c>
      <c r="E266" s="42" t="s">
        <v>2431</v>
      </c>
      <c r="F266" s="42" t="s">
        <v>2435</v>
      </c>
      <c r="G266" s="43">
        <v>2871633</v>
      </c>
      <c r="H266" s="43">
        <f>G266*11%-1</f>
        <v>315878.63</v>
      </c>
      <c r="I266" s="85"/>
      <c r="J266" s="86"/>
      <c r="K266" s="87"/>
      <c r="L266" s="87"/>
      <c r="M266" s="86"/>
      <c r="N266" s="62"/>
    </row>
    <row r="267" spans="1:14" ht="17.25" customHeight="1" x14ac:dyDescent="0.25">
      <c r="A267" s="88"/>
      <c r="B267" s="89"/>
      <c r="C267" s="89"/>
      <c r="D267" s="42"/>
      <c r="E267" s="42"/>
      <c r="F267" s="42"/>
      <c r="G267" s="43"/>
      <c r="H267" s="43"/>
      <c r="I267" s="25">
        <v>45317</v>
      </c>
      <c r="J267" s="101"/>
      <c r="K267" s="26"/>
      <c r="L267" s="26"/>
      <c r="M267" s="101"/>
      <c r="N267" s="62">
        <f>J267*2%</f>
        <v>0</v>
      </c>
    </row>
    <row r="268" spans="1:14" ht="17.25" customHeight="1" x14ac:dyDescent="0.25">
      <c r="A268" s="21">
        <v>45281</v>
      </c>
      <c r="B268" s="22" t="s">
        <v>2436</v>
      </c>
      <c r="C268" s="22" t="s">
        <v>2437</v>
      </c>
      <c r="D268" s="22" t="s">
        <v>1936</v>
      </c>
      <c r="E268" s="22" t="s">
        <v>2438</v>
      </c>
      <c r="F268" s="22" t="s">
        <v>1966</v>
      </c>
      <c r="G268" s="24">
        <v>5123948</v>
      </c>
      <c r="H268" s="24">
        <f>G268*11%</f>
        <v>563634.28</v>
      </c>
      <c r="I268" s="85"/>
      <c r="J268" s="86"/>
      <c r="K268" s="87"/>
      <c r="L268" s="87"/>
      <c r="M268" s="86"/>
      <c r="N268" s="62"/>
    </row>
    <row r="269" spans="1:14" ht="17.25" customHeight="1" x14ac:dyDescent="0.25">
      <c r="A269" s="88"/>
      <c r="B269" s="89"/>
      <c r="C269" s="89"/>
      <c r="D269" s="42"/>
      <c r="E269" s="42"/>
      <c r="F269" s="42"/>
      <c r="G269" s="43"/>
      <c r="H269" s="43"/>
      <c r="I269" s="85"/>
      <c r="J269" s="86"/>
      <c r="K269" s="87"/>
      <c r="L269" s="87"/>
      <c r="M269" s="86"/>
      <c r="N269" s="62">
        <f>J269*2%</f>
        <v>0</v>
      </c>
    </row>
    <row r="270" spans="1:14" ht="17.25" customHeight="1" x14ac:dyDescent="0.25">
      <c r="A270" s="88">
        <v>45281</v>
      </c>
      <c r="B270" s="89" t="s">
        <v>2439</v>
      </c>
      <c r="C270" s="89" t="s">
        <v>2440</v>
      </c>
      <c r="D270" s="42" t="s">
        <v>1936</v>
      </c>
      <c r="E270" s="42" t="s">
        <v>2438</v>
      </c>
      <c r="F270" s="42" t="s">
        <v>2029</v>
      </c>
      <c r="G270" s="43">
        <v>17511990</v>
      </c>
      <c r="H270" s="43">
        <f>G270*11%</f>
        <v>1926318.9</v>
      </c>
      <c r="I270" s="85"/>
      <c r="J270" s="86"/>
      <c r="K270" s="87"/>
      <c r="L270" s="87"/>
      <c r="M270" s="86"/>
      <c r="N270" s="62">
        <f>J270*2%</f>
        <v>0</v>
      </c>
    </row>
    <row r="271" spans="1:14" ht="17.25" customHeight="1" x14ac:dyDescent="0.25">
      <c r="A271" s="88">
        <v>45281</v>
      </c>
      <c r="B271" s="89" t="s">
        <v>2441</v>
      </c>
      <c r="C271" s="89" t="s">
        <v>2442</v>
      </c>
      <c r="D271" s="42" t="s">
        <v>1853</v>
      </c>
      <c r="E271" s="42" t="s">
        <v>1965</v>
      </c>
      <c r="F271" s="42" t="s">
        <v>2259</v>
      </c>
      <c r="G271" s="43">
        <v>895860</v>
      </c>
      <c r="H271" s="43">
        <f>G271*11%-1</f>
        <v>98543.6</v>
      </c>
      <c r="I271" s="85"/>
      <c r="J271" s="86"/>
      <c r="K271" s="87"/>
      <c r="L271" s="87"/>
      <c r="M271" s="86"/>
      <c r="N271" s="62"/>
    </row>
    <row r="272" spans="1:14" ht="17.25" customHeight="1" x14ac:dyDescent="0.25">
      <c r="A272" s="88"/>
      <c r="B272" s="89"/>
      <c r="C272" s="89"/>
      <c r="D272" s="42"/>
      <c r="E272" s="42"/>
      <c r="F272" s="42"/>
      <c r="G272" s="43"/>
      <c r="H272" s="43"/>
      <c r="I272" s="25">
        <v>45314</v>
      </c>
      <c r="J272" s="101"/>
      <c r="K272" s="26"/>
      <c r="L272" s="26"/>
      <c r="M272" s="101"/>
      <c r="N272" s="62"/>
    </row>
    <row r="273" spans="1:14" ht="17.25" customHeight="1" x14ac:dyDescent="0.25">
      <c r="A273" s="21">
        <v>45254</v>
      </c>
      <c r="B273" s="22" t="s">
        <v>2443</v>
      </c>
      <c r="C273" s="22" t="s">
        <v>2444</v>
      </c>
      <c r="D273" s="22" t="s">
        <v>1853</v>
      </c>
      <c r="E273" s="22" t="s">
        <v>2445</v>
      </c>
      <c r="F273" s="22" t="s">
        <v>2029</v>
      </c>
      <c r="G273" s="24">
        <v>1344000</v>
      </c>
      <c r="H273" s="24">
        <f>G273*11%</f>
        <v>147840</v>
      </c>
      <c r="I273" s="25"/>
      <c r="J273" s="101"/>
      <c r="K273" s="26"/>
      <c r="L273" s="26"/>
      <c r="M273" s="101"/>
      <c r="N273" s="62">
        <f>J273*2%</f>
        <v>0</v>
      </c>
    </row>
    <row r="274" spans="1:14" ht="17.25" customHeight="1" x14ac:dyDescent="0.25">
      <c r="A274" s="21">
        <v>45281</v>
      </c>
      <c r="B274" s="22" t="s">
        <v>2446</v>
      </c>
      <c r="C274" s="22" t="s">
        <v>2447</v>
      </c>
      <c r="D274" s="22" t="s">
        <v>1853</v>
      </c>
      <c r="E274" s="22" t="s">
        <v>2448</v>
      </c>
      <c r="F274" s="22" t="s">
        <v>2259</v>
      </c>
      <c r="G274" s="24">
        <v>1344000</v>
      </c>
      <c r="H274" s="24">
        <f>G274*11%</f>
        <v>147840</v>
      </c>
      <c r="I274" s="85"/>
      <c r="J274" s="86"/>
      <c r="K274" s="87"/>
      <c r="L274" s="87"/>
      <c r="M274" s="86"/>
      <c r="N274" s="62"/>
    </row>
    <row r="275" spans="1:14" ht="17.25" customHeight="1" x14ac:dyDescent="0.25">
      <c r="A275" s="88"/>
      <c r="B275" s="89"/>
      <c r="C275" s="89"/>
      <c r="D275" s="42"/>
      <c r="E275" s="42"/>
      <c r="F275" s="42"/>
      <c r="G275" s="43"/>
      <c r="H275" s="43"/>
      <c r="I275" s="85"/>
      <c r="J275" s="86"/>
      <c r="K275" s="87"/>
      <c r="L275" s="87"/>
      <c r="M275" s="86"/>
      <c r="N275" s="62">
        <f>J275*2%</f>
        <v>0</v>
      </c>
    </row>
    <row r="276" spans="1:14" ht="17.25" customHeight="1" x14ac:dyDescent="0.25">
      <c r="A276" s="88">
        <v>45281</v>
      </c>
      <c r="B276" s="89" t="s">
        <v>2449</v>
      </c>
      <c r="C276" s="89" t="s">
        <v>2450</v>
      </c>
      <c r="D276" s="42" t="s">
        <v>1853</v>
      </c>
      <c r="E276" s="42" t="s">
        <v>1952</v>
      </c>
      <c r="F276" s="42" t="s">
        <v>2259</v>
      </c>
      <c r="G276" s="43">
        <v>7251250</v>
      </c>
      <c r="H276" s="43">
        <f>G276*11%-1</f>
        <v>797636.5</v>
      </c>
      <c r="I276" s="85"/>
      <c r="J276" s="86"/>
      <c r="K276" s="87"/>
      <c r="L276" s="87"/>
      <c r="M276" s="86"/>
      <c r="N276" s="62">
        <f>J276*2%</f>
        <v>0</v>
      </c>
    </row>
    <row r="277" spans="1:14" ht="17.25" customHeight="1" x14ac:dyDescent="0.25">
      <c r="A277" s="88">
        <v>45281</v>
      </c>
      <c r="B277" s="89" t="s">
        <v>2451</v>
      </c>
      <c r="C277" s="89" t="s">
        <v>2452</v>
      </c>
      <c r="D277" s="42" t="s">
        <v>2453</v>
      </c>
      <c r="E277" s="42" t="s">
        <v>2454</v>
      </c>
      <c r="F277" s="42" t="s">
        <v>1855</v>
      </c>
      <c r="G277" s="43">
        <v>300000</v>
      </c>
      <c r="H277" s="43">
        <f>G277*11%</f>
        <v>33000</v>
      </c>
      <c r="I277" s="85"/>
      <c r="J277" s="86"/>
      <c r="K277" s="87"/>
      <c r="L277" s="87"/>
      <c r="M277" s="86"/>
      <c r="N277" s="62">
        <f>J277*2%</f>
        <v>0</v>
      </c>
    </row>
    <row r="278" spans="1:14" ht="17.25" customHeight="1" x14ac:dyDescent="0.25">
      <c r="A278" s="93">
        <v>45281</v>
      </c>
      <c r="B278" s="92" t="s">
        <v>2455</v>
      </c>
      <c r="C278" s="92" t="s">
        <v>2456</v>
      </c>
      <c r="D278" s="71" t="s">
        <v>1998</v>
      </c>
      <c r="E278" s="71" t="s">
        <v>2052</v>
      </c>
      <c r="F278" s="71" t="s">
        <v>1920</v>
      </c>
      <c r="G278" s="72">
        <v>19840000</v>
      </c>
      <c r="H278" s="72">
        <f>G278*11%</f>
        <v>2182400</v>
      </c>
      <c r="I278" s="85"/>
      <c r="J278" s="86"/>
      <c r="K278" s="87"/>
      <c r="L278" s="87"/>
      <c r="M278" s="86"/>
      <c r="N278" s="62"/>
    </row>
    <row r="279" spans="1:14" ht="17.25" customHeight="1" x14ac:dyDescent="0.25">
      <c r="A279" s="93"/>
      <c r="B279" s="92"/>
      <c r="C279" s="92"/>
      <c r="D279" s="71"/>
      <c r="E279" s="71"/>
      <c r="F279" s="71"/>
      <c r="G279" s="72"/>
      <c r="H279" s="72"/>
      <c r="I279" s="25">
        <v>45320</v>
      </c>
      <c r="J279" s="101"/>
      <c r="K279" s="26"/>
      <c r="L279" s="26"/>
      <c r="M279" s="101"/>
      <c r="N279" s="62">
        <f t="shared" ref="N279:N288" si="12">J279*2%</f>
        <v>0</v>
      </c>
    </row>
    <row r="280" spans="1:14" ht="17.25" customHeight="1" x14ac:dyDescent="0.25">
      <c r="A280" s="21">
        <v>45282</v>
      </c>
      <c r="B280" s="22" t="s">
        <v>2457</v>
      </c>
      <c r="C280" s="22" t="s">
        <v>2458</v>
      </c>
      <c r="D280" s="22" t="s">
        <v>2459</v>
      </c>
      <c r="E280" s="22" t="s">
        <v>2460</v>
      </c>
      <c r="F280" s="22" t="s">
        <v>2461</v>
      </c>
      <c r="G280" s="24">
        <v>73084000</v>
      </c>
      <c r="H280" s="24">
        <f>G280*11%</f>
        <v>8039240</v>
      </c>
      <c r="I280" s="85"/>
      <c r="J280" s="86"/>
      <c r="K280" s="87"/>
      <c r="L280" s="87"/>
      <c r="M280" s="86"/>
      <c r="N280" s="62">
        <f t="shared" si="12"/>
        <v>0</v>
      </c>
    </row>
    <row r="281" spans="1:14" ht="17.25" customHeight="1" x14ac:dyDescent="0.2">
      <c r="A281" s="90"/>
      <c r="B281" s="87"/>
      <c r="C281" s="87"/>
      <c r="D281" s="87"/>
      <c r="E281" s="87"/>
      <c r="F281" s="87"/>
      <c r="G281" s="86"/>
      <c r="H281" s="86"/>
      <c r="I281" s="85"/>
      <c r="J281" s="86"/>
      <c r="K281" s="87"/>
      <c r="L281" s="87"/>
      <c r="M281" s="86"/>
      <c r="N281" s="62">
        <f t="shared" si="12"/>
        <v>0</v>
      </c>
    </row>
    <row r="282" spans="1:14" ht="17.25" customHeight="1" x14ac:dyDescent="0.25">
      <c r="A282" s="84">
        <v>45291</v>
      </c>
      <c r="B282" s="42" t="s">
        <v>2462</v>
      </c>
      <c r="C282" s="42" t="s">
        <v>2463</v>
      </c>
      <c r="D282" s="42" t="s">
        <v>340</v>
      </c>
      <c r="E282" s="42" t="s">
        <v>2464</v>
      </c>
      <c r="F282" s="42" t="s">
        <v>2465</v>
      </c>
      <c r="G282" s="43">
        <v>4564430</v>
      </c>
      <c r="H282" s="43">
        <f t="shared" ref="H282:H287" si="13">G282*11%</f>
        <v>502087.3</v>
      </c>
      <c r="I282" s="85"/>
      <c r="J282" s="86"/>
      <c r="K282" s="87"/>
      <c r="L282" s="87"/>
      <c r="M282" s="86"/>
      <c r="N282" s="62">
        <f t="shared" si="12"/>
        <v>0</v>
      </c>
    </row>
    <row r="283" spans="1:14" ht="17.25" customHeight="1" x14ac:dyDescent="0.25">
      <c r="A283" s="84">
        <v>45291</v>
      </c>
      <c r="B283" s="42" t="s">
        <v>2466</v>
      </c>
      <c r="C283" s="42" t="s">
        <v>2467</v>
      </c>
      <c r="D283" s="42" t="s">
        <v>340</v>
      </c>
      <c r="E283" s="42" t="s">
        <v>347</v>
      </c>
      <c r="F283" s="42" t="s">
        <v>2465</v>
      </c>
      <c r="G283" s="43">
        <v>8001920</v>
      </c>
      <c r="H283" s="43">
        <f t="shared" si="13"/>
        <v>880211.2</v>
      </c>
      <c r="I283" s="85"/>
      <c r="J283" s="86"/>
      <c r="K283" s="87"/>
      <c r="L283" s="87"/>
      <c r="M283" s="86"/>
      <c r="N283" s="62">
        <f t="shared" si="12"/>
        <v>0</v>
      </c>
    </row>
    <row r="284" spans="1:14" ht="17.25" customHeight="1" x14ac:dyDescent="0.25">
      <c r="A284" s="84">
        <v>41274</v>
      </c>
      <c r="B284" s="42" t="s">
        <v>2468</v>
      </c>
      <c r="C284" s="42" t="s">
        <v>2469</v>
      </c>
      <c r="D284" s="42" t="s">
        <v>340</v>
      </c>
      <c r="E284" s="42" t="s">
        <v>2470</v>
      </c>
      <c r="F284" s="42" t="s">
        <v>2465</v>
      </c>
      <c r="G284" s="43">
        <v>2231120</v>
      </c>
      <c r="H284" s="43">
        <f t="shared" si="13"/>
        <v>245423.2</v>
      </c>
      <c r="I284" s="85"/>
      <c r="J284" s="86"/>
      <c r="K284" s="87"/>
      <c r="L284" s="87"/>
      <c r="M284" s="86"/>
      <c r="N284" s="62">
        <f t="shared" si="12"/>
        <v>0</v>
      </c>
    </row>
    <row r="285" spans="1:14" ht="17.25" customHeight="1" x14ac:dyDescent="0.25">
      <c r="A285" s="84">
        <v>45291</v>
      </c>
      <c r="B285" s="42" t="s">
        <v>2471</v>
      </c>
      <c r="C285" s="42" t="s">
        <v>2472</v>
      </c>
      <c r="D285" s="42" t="s">
        <v>340</v>
      </c>
      <c r="E285" s="42" t="s">
        <v>2473</v>
      </c>
      <c r="F285" s="42" t="s">
        <v>2465</v>
      </c>
      <c r="G285" s="43">
        <v>20203269</v>
      </c>
      <c r="H285" s="43">
        <f t="shared" si="13"/>
        <v>2222359.59</v>
      </c>
      <c r="I285" s="85"/>
      <c r="J285" s="86"/>
      <c r="K285" s="87"/>
      <c r="L285" s="87"/>
      <c r="M285" s="86"/>
      <c r="N285" s="62">
        <f t="shared" si="12"/>
        <v>0</v>
      </c>
    </row>
    <row r="286" spans="1:14" ht="17.25" customHeight="1" x14ac:dyDescent="0.25">
      <c r="A286" s="84">
        <v>45291</v>
      </c>
      <c r="B286" s="42" t="s">
        <v>2474</v>
      </c>
      <c r="C286" s="42" t="s">
        <v>2475</v>
      </c>
      <c r="D286" s="42" t="s">
        <v>340</v>
      </c>
      <c r="E286" s="42" t="s">
        <v>199</v>
      </c>
      <c r="F286" s="42" t="s">
        <v>2465</v>
      </c>
      <c r="G286" s="43">
        <v>191404686</v>
      </c>
      <c r="H286" s="43">
        <f t="shared" si="13"/>
        <v>21054515.460000001</v>
      </c>
      <c r="I286" s="85"/>
      <c r="J286" s="86"/>
      <c r="K286" s="87"/>
      <c r="L286" s="87"/>
      <c r="M286" s="86"/>
      <c r="N286" s="62">
        <f t="shared" si="12"/>
        <v>0</v>
      </c>
    </row>
    <row r="287" spans="1:14" ht="17.25" customHeight="1" x14ac:dyDescent="0.25">
      <c r="A287" s="84">
        <v>45291</v>
      </c>
      <c r="B287" s="42" t="s">
        <v>2476</v>
      </c>
      <c r="C287" s="42" t="s">
        <v>2477</v>
      </c>
      <c r="D287" s="42" t="s">
        <v>340</v>
      </c>
      <c r="E287" s="42" t="s">
        <v>350</v>
      </c>
      <c r="F287" s="42" t="s">
        <v>2465</v>
      </c>
      <c r="G287" s="43">
        <v>21139912</v>
      </c>
      <c r="H287" s="43">
        <f t="shared" si="13"/>
        <v>2325390.3199999998</v>
      </c>
      <c r="I287" s="85"/>
      <c r="J287" s="86"/>
      <c r="K287" s="87"/>
      <c r="L287" s="87"/>
      <c r="M287" s="86"/>
      <c r="N287" s="62">
        <f t="shared" si="12"/>
        <v>0</v>
      </c>
    </row>
    <row r="288" spans="1:14" ht="17.25" customHeight="1" x14ac:dyDescent="0.25">
      <c r="A288" s="84">
        <v>45291</v>
      </c>
      <c r="B288" s="42" t="s">
        <v>2478</v>
      </c>
      <c r="C288" s="42" t="s">
        <v>2479</v>
      </c>
      <c r="D288" s="42" t="s">
        <v>340</v>
      </c>
      <c r="E288" s="42" t="s">
        <v>344</v>
      </c>
      <c r="F288" s="42" t="s">
        <v>2465</v>
      </c>
      <c r="G288" s="43">
        <v>1174800</v>
      </c>
      <c r="H288" s="43">
        <v>129228</v>
      </c>
      <c r="I288" s="85"/>
      <c r="J288" s="86"/>
      <c r="K288" s="87"/>
      <c r="L288" s="87"/>
      <c r="M288" s="86"/>
      <c r="N288" s="62">
        <f t="shared" si="12"/>
        <v>0</v>
      </c>
    </row>
    <row r="289" spans="1:14" ht="17.25" customHeight="1" x14ac:dyDescent="0.25">
      <c r="A289" s="84">
        <v>45291</v>
      </c>
      <c r="B289" s="42" t="s">
        <v>2480</v>
      </c>
      <c r="C289" s="42" t="s">
        <v>2481</v>
      </c>
      <c r="D289" s="42" t="s">
        <v>340</v>
      </c>
      <c r="E289" s="42" t="s">
        <v>356</v>
      </c>
      <c r="F289" s="42" t="s">
        <v>2465</v>
      </c>
      <c r="G289" s="43">
        <v>4540449</v>
      </c>
      <c r="H289" s="43">
        <v>499449</v>
      </c>
      <c r="I289" s="85"/>
      <c r="J289" s="86"/>
      <c r="K289" s="87"/>
      <c r="L289" s="87"/>
      <c r="M289" s="86"/>
      <c r="N289" s="5"/>
    </row>
    <row r="290" spans="1:14" ht="17.25" customHeight="1" x14ac:dyDescent="0.2">
      <c r="A290" s="90"/>
      <c r="B290" s="87"/>
      <c r="C290" s="87"/>
      <c r="D290" s="87"/>
      <c r="E290" s="87"/>
      <c r="F290" s="87"/>
      <c r="G290" s="86"/>
      <c r="H290" s="86"/>
      <c r="I290" s="85"/>
      <c r="J290" s="86"/>
      <c r="K290" s="87" t="s">
        <v>2482</v>
      </c>
      <c r="L290" s="87"/>
      <c r="M290" s="110">
        <f>SUM(M4:M289)</f>
        <v>0</v>
      </c>
      <c r="N290" s="5"/>
    </row>
    <row r="291" spans="1:14" ht="17.25" customHeight="1" x14ac:dyDescent="0.2">
      <c r="A291" s="90"/>
      <c r="B291" s="87"/>
      <c r="C291" s="87"/>
      <c r="D291" s="87"/>
      <c r="E291" s="87"/>
      <c r="F291" s="87"/>
      <c r="G291" s="86"/>
      <c r="H291" s="86"/>
      <c r="I291" s="85"/>
      <c r="J291" s="86"/>
      <c r="K291" s="87" t="s">
        <v>2483</v>
      </c>
      <c r="L291" s="87"/>
      <c r="M291" s="110"/>
      <c r="N291" s="5"/>
    </row>
    <row r="292" spans="1:14" ht="17.25" customHeight="1" x14ac:dyDescent="0.2">
      <c r="A292" s="90"/>
      <c r="B292" s="87"/>
      <c r="C292" s="87"/>
      <c r="D292" s="87"/>
      <c r="E292" s="87"/>
      <c r="F292" s="87"/>
      <c r="G292" s="86"/>
      <c r="H292" s="86"/>
      <c r="I292" s="85"/>
      <c r="J292" s="86"/>
      <c r="K292" s="87" t="s">
        <v>2484</v>
      </c>
      <c r="L292" s="87"/>
      <c r="M292" s="110"/>
      <c r="N292" s="5"/>
    </row>
    <row r="293" spans="1:14" ht="17.25" customHeight="1" x14ac:dyDescent="0.2">
      <c r="A293" s="90"/>
      <c r="B293" s="87"/>
      <c r="C293" s="87"/>
      <c r="D293" s="87"/>
      <c r="E293" s="87"/>
      <c r="F293" s="87"/>
      <c r="G293" s="86"/>
      <c r="H293" s="86"/>
      <c r="I293" s="85"/>
      <c r="J293" s="86"/>
      <c r="K293" s="87"/>
      <c r="L293" s="87"/>
      <c r="M293" s="110"/>
      <c r="N293" s="5"/>
    </row>
    <row r="294" spans="1:14" ht="17.25" customHeight="1" x14ac:dyDescent="0.2">
      <c r="A294" s="90"/>
      <c r="B294" s="87"/>
      <c r="C294" s="87"/>
      <c r="D294" s="87"/>
      <c r="E294" s="87"/>
      <c r="F294" s="87"/>
      <c r="G294" s="86"/>
      <c r="H294" s="86"/>
      <c r="I294" s="85"/>
      <c r="J294" s="86"/>
      <c r="K294" s="87" t="s">
        <v>2485</v>
      </c>
      <c r="L294" s="87"/>
      <c r="M294" s="110">
        <v>23769839</v>
      </c>
      <c r="N294" s="5"/>
    </row>
    <row r="295" spans="1:14" ht="17.25" customHeight="1" x14ac:dyDescent="0.2">
      <c r="A295" s="90"/>
      <c r="B295" s="87"/>
      <c r="C295" s="87"/>
      <c r="D295" s="87"/>
      <c r="E295" s="87"/>
      <c r="F295" s="87"/>
      <c r="G295" s="86"/>
      <c r="H295" s="86"/>
      <c r="I295" s="85"/>
      <c r="J295" s="86"/>
      <c r="K295" s="87" t="s">
        <v>2486</v>
      </c>
      <c r="L295" s="87"/>
      <c r="M295" s="110">
        <v>25848612</v>
      </c>
      <c r="N295" s="5"/>
    </row>
    <row r="296" spans="1:14" ht="17.25" customHeight="1" x14ac:dyDescent="0.2">
      <c r="A296" s="90"/>
      <c r="B296" s="87"/>
      <c r="C296" s="87"/>
      <c r="D296" s="87"/>
      <c r="E296" s="87"/>
      <c r="F296" s="87"/>
      <c r="G296" s="86"/>
      <c r="H296" s="86"/>
      <c r="I296" s="85"/>
      <c r="J296" s="86"/>
      <c r="K296" s="87" t="s">
        <v>2487</v>
      </c>
      <c r="L296" s="87"/>
      <c r="M296" s="110">
        <v>505799</v>
      </c>
      <c r="N296" s="5"/>
    </row>
    <row r="297" spans="1:14" ht="17.25" customHeight="1" x14ac:dyDescent="0.2">
      <c r="A297" s="90"/>
      <c r="B297" s="87"/>
      <c r="C297" s="87"/>
      <c r="D297" s="87"/>
      <c r="E297" s="87"/>
      <c r="F297" s="87"/>
      <c r="G297" s="86"/>
      <c r="H297" s="86"/>
      <c r="I297" s="85"/>
      <c r="J297" s="86"/>
      <c r="K297" s="87"/>
      <c r="L297" s="87"/>
      <c r="M297" s="86"/>
      <c r="N297" s="5"/>
    </row>
    <row r="298" spans="1:14" ht="17.25" customHeight="1" x14ac:dyDescent="0.2">
      <c r="A298" s="90"/>
      <c r="B298" s="87"/>
      <c r="C298" s="87"/>
      <c r="D298" s="87"/>
      <c r="E298" s="87"/>
      <c r="F298" s="87"/>
      <c r="G298" s="86"/>
      <c r="H298" s="86"/>
      <c r="I298" s="85"/>
      <c r="J298" s="86"/>
      <c r="K298" s="87"/>
      <c r="L298" s="87"/>
      <c r="M298" s="86"/>
      <c r="N298" s="5"/>
    </row>
    <row r="299" spans="1:14" ht="17.25" customHeight="1" x14ac:dyDescent="0.2">
      <c r="A299" s="90"/>
      <c r="B299" s="87"/>
      <c r="C299" s="87"/>
      <c r="D299" s="87"/>
      <c r="E299" s="87"/>
      <c r="F299" s="87"/>
      <c r="G299" s="86"/>
      <c r="H299" s="86"/>
      <c r="I299" s="85"/>
      <c r="J299" s="86"/>
      <c r="K299" s="87"/>
      <c r="L299" s="87"/>
      <c r="M299" s="86"/>
      <c r="N299" s="5"/>
    </row>
    <row r="300" spans="1:14" ht="17.25" customHeight="1" x14ac:dyDescent="0.2">
      <c r="A300" s="90"/>
      <c r="B300" s="87"/>
      <c r="C300" s="87"/>
      <c r="D300" s="87"/>
      <c r="E300" s="87"/>
      <c r="F300" s="87"/>
      <c r="G300" s="86"/>
      <c r="H300" s="86"/>
      <c r="I300" s="4"/>
      <c r="J300" s="3"/>
      <c r="M300" s="3"/>
      <c r="N300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M713"/>
  <sheetViews>
    <sheetView tabSelected="1" workbookViewId="0">
      <pane ySplit="4" topLeftCell="A358" activePane="bottomLeft" state="frozen"/>
      <selection pane="bottomLeft" activeCell="I377" sqref="I377"/>
    </sheetView>
  </sheetViews>
  <sheetFormatPr baseColWidth="10" defaultColWidth="8.83203125" defaultRowHeight="15" x14ac:dyDescent="0.2"/>
  <cols>
    <col min="1" max="1" width="14.33203125" style="78" bestFit="1" customWidth="1"/>
    <col min="2" max="2" width="12.5" style="2" bestFit="1" customWidth="1"/>
    <col min="3" max="3" width="12.5" style="79" bestFit="1" customWidth="1"/>
    <col min="4" max="6" width="12.5" style="2" bestFit="1" customWidth="1"/>
    <col min="7" max="7" width="18" style="80" bestFit="1" customWidth="1"/>
    <col min="8" max="8" width="16.5" style="80" bestFit="1" customWidth="1"/>
    <col min="9" max="9" width="12.5" style="81" bestFit="1" customWidth="1"/>
    <col min="10" max="10" width="14.6640625" bestFit="1" customWidth="1"/>
    <col min="11" max="12" width="12.5" bestFit="1" customWidth="1"/>
    <col min="13" max="13" width="13" style="82" bestFit="1" customWidth="1"/>
  </cols>
  <sheetData>
    <row r="1" spans="1:13" ht="17.25" customHeight="1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9" t="s">
        <v>8</v>
      </c>
      <c r="J1" s="7" t="s">
        <v>9</v>
      </c>
      <c r="M1" s="5"/>
    </row>
    <row r="2" spans="1:13" ht="17.25" customHeight="1" x14ac:dyDescent="0.25">
      <c r="A2" s="11">
        <v>45294</v>
      </c>
      <c r="B2" s="12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5">
        <v>442164900</v>
      </c>
      <c r="H2" s="16">
        <v>48638139</v>
      </c>
      <c r="I2" s="4"/>
      <c r="M2" s="5"/>
    </row>
    <row r="3" spans="1:13" ht="17.25" customHeight="1" x14ac:dyDescent="0.25">
      <c r="A3" s="11">
        <v>45294</v>
      </c>
      <c r="B3" s="12" t="s">
        <v>18</v>
      </c>
      <c r="C3" s="13" t="s">
        <v>19</v>
      </c>
      <c r="D3" s="12" t="s">
        <v>20</v>
      </c>
      <c r="E3" s="12" t="s">
        <v>21</v>
      </c>
      <c r="F3" s="12" t="s">
        <v>22</v>
      </c>
      <c r="G3" s="15">
        <v>36983650</v>
      </c>
      <c r="H3" s="15">
        <v>4068201</v>
      </c>
      <c r="I3" s="4"/>
      <c r="M3" s="5"/>
    </row>
    <row r="4" spans="1:13" ht="17.25" customHeight="1" x14ac:dyDescent="0.25">
      <c r="A4" s="11">
        <v>45294</v>
      </c>
      <c r="B4" s="12" t="s">
        <v>23</v>
      </c>
      <c r="C4" s="13" t="s">
        <v>24</v>
      </c>
      <c r="D4" s="12" t="s">
        <v>20</v>
      </c>
      <c r="E4" s="12" t="s">
        <v>25</v>
      </c>
      <c r="F4" s="12" t="s">
        <v>22</v>
      </c>
      <c r="G4" s="15">
        <v>21242200</v>
      </c>
      <c r="H4" s="15">
        <v>2336642</v>
      </c>
      <c r="I4" s="4"/>
      <c r="K4" s="7" t="s">
        <v>10</v>
      </c>
      <c r="L4" s="7" t="s">
        <v>11</v>
      </c>
      <c r="M4" s="10" t="s">
        <v>12</v>
      </c>
    </row>
    <row r="5" spans="1:13" ht="22.5" customHeight="1" x14ac:dyDescent="0.25">
      <c r="A5" s="17"/>
      <c r="B5" s="18"/>
      <c r="C5" s="19"/>
      <c r="D5" s="18"/>
      <c r="E5" s="18"/>
      <c r="F5" s="18"/>
      <c r="G5" s="20"/>
      <c r="H5" s="20"/>
      <c r="I5" s="4"/>
      <c r="M5" s="5"/>
    </row>
    <row r="6" spans="1:13" ht="21.75" customHeight="1" x14ac:dyDescent="0.25">
      <c r="A6" s="21">
        <v>45295</v>
      </c>
      <c r="B6" s="22" t="s">
        <v>26</v>
      </c>
      <c r="C6" s="23" t="s">
        <v>27</v>
      </c>
      <c r="D6" s="22" t="s">
        <v>28</v>
      </c>
      <c r="E6" s="22" t="s">
        <v>29</v>
      </c>
      <c r="F6" s="22" t="s">
        <v>30</v>
      </c>
      <c r="G6" s="24">
        <v>310000</v>
      </c>
      <c r="H6" s="24">
        <v>34100</v>
      </c>
      <c r="I6" s="25">
        <v>45295</v>
      </c>
      <c r="J6" s="26"/>
      <c r="M6" s="5"/>
    </row>
    <row r="7" spans="1:13" ht="21.75" customHeight="1" x14ac:dyDescent="0.25">
      <c r="A7" s="11"/>
      <c r="B7" s="12"/>
      <c r="C7" s="13"/>
      <c r="D7" s="12"/>
      <c r="E7" s="12"/>
      <c r="F7" s="12"/>
      <c r="G7" s="15"/>
      <c r="H7" s="15"/>
      <c r="I7" s="4"/>
      <c r="M7" s="5"/>
    </row>
    <row r="8" spans="1:13" ht="21" customHeight="1" x14ac:dyDescent="0.25">
      <c r="A8" s="11">
        <v>45296</v>
      </c>
      <c r="B8" s="12" t="s">
        <v>31</v>
      </c>
      <c r="C8" s="13" t="s">
        <v>32</v>
      </c>
      <c r="D8" s="12" t="s">
        <v>33</v>
      </c>
      <c r="E8" s="12" t="s">
        <v>34</v>
      </c>
      <c r="F8" s="12" t="s">
        <v>35</v>
      </c>
      <c r="G8" s="15">
        <v>161844555</v>
      </c>
      <c r="H8" s="15">
        <v>17802901</v>
      </c>
      <c r="I8" s="4"/>
      <c r="M8" s="5"/>
    </row>
    <row r="9" spans="1:13" ht="22.5" customHeight="1" x14ac:dyDescent="0.25">
      <c r="A9" s="11">
        <v>45296</v>
      </c>
      <c r="B9" s="12" t="s">
        <v>36</v>
      </c>
      <c r="C9" s="13" t="s">
        <v>37</v>
      </c>
      <c r="D9" s="12" t="s">
        <v>33</v>
      </c>
      <c r="E9" s="12" t="s">
        <v>38</v>
      </c>
      <c r="F9" s="12" t="s">
        <v>39</v>
      </c>
      <c r="G9" s="15">
        <v>14230475</v>
      </c>
      <c r="H9" s="15">
        <v>1565352</v>
      </c>
      <c r="I9" s="4"/>
      <c r="K9" s="26"/>
      <c r="L9" s="26"/>
      <c r="M9" s="27"/>
    </row>
    <row r="10" spans="1:13" ht="21.75" customHeight="1" x14ac:dyDescent="0.25">
      <c r="A10" s="11">
        <v>45296</v>
      </c>
      <c r="B10" s="12" t="s">
        <v>40</v>
      </c>
      <c r="C10" s="13" t="s">
        <v>41</v>
      </c>
      <c r="D10" s="12" t="s">
        <v>15</v>
      </c>
      <c r="E10" s="12" t="s">
        <v>42</v>
      </c>
      <c r="F10" s="12" t="s">
        <v>43</v>
      </c>
      <c r="G10" s="15">
        <v>68210500</v>
      </c>
      <c r="H10" s="15">
        <v>7503155</v>
      </c>
      <c r="I10" s="4"/>
      <c r="M10" s="5"/>
    </row>
    <row r="11" spans="1:13" ht="21.75" customHeight="1" x14ac:dyDescent="0.25">
      <c r="A11" s="11">
        <v>45296</v>
      </c>
      <c r="B11" s="12" t="s">
        <v>44</v>
      </c>
      <c r="C11" s="13" t="s">
        <v>45</v>
      </c>
      <c r="D11" s="12" t="s">
        <v>46</v>
      </c>
      <c r="E11" s="12" t="s">
        <v>47</v>
      </c>
      <c r="F11" s="12" t="s">
        <v>48</v>
      </c>
      <c r="G11" s="15">
        <v>109875640</v>
      </c>
      <c r="H11" s="15">
        <v>12086320</v>
      </c>
      <c r="I11" s="4"/>
      <c r="M11" s="5"/>
    </row>
    <row r="12" spans="1:13" ht="21.75" customHeight="1" x14ac:dyDescent="0.25">
      <c r="A12" s="11">
        <v>45296</v>
      </c>
      <c r="B12" s="12" t="s">
        <v>49</v>
      </c>
      <c r="C12" s="13" t="s">
        <v>50</v>
      </c>
      <c r="D12" s="12" t="s">
        <v>46</v>
      </c>
      <c r="E12" s="12" t="s">
        <v>47</v>
      </c>
      <c r="F12" s="12" t="s">
        <v>51</v>
      </c>
      <c r="G12" s="15">
        <v>1423300</v>
      </c>
      <c r="H12" s="15">
        <v>156563</v>
      </c>
      <c r="I12" s="4"/>
      <c r="M12" s="5"/>
    </row>
    <row r="13" spans="1:13" ht="21.75" customHeight="1" x14ac:dyDescent="0.25">
      <c r="A13" s="11">
        <v>45296</v>
      </c>
      <c r="B13" s="12" t="s">
        <v>52</v>
      </c>
      <c r="C13" s="13" t="s">
        <v>53</v>
      </c>
      <c r="D13" s="12" t="s">
        <v>46</v>
      </c>
      <c r="E13" s="12" t="s">
        <v>47</v>
      </c>
      <c r="F13" s="12" t="s">
        <v>54</v>
      </c>
      <c r="G13" s="15">
        <v>1423300</v>
      </c>
      <c r="H13" s="15">
        <v>156563</v>
      </c>
      <c r="I13" s="4"/>
      <c r="M13" s="5"/>
    </row>
    <row r="14" spans="1:13" ht="21.75" customHeight="1" x14ac:dyDescent="0.25">
      <c r="A14" s="11">
        <v>45296</v>
      </c>
      <c r="B14" s="12" t="s">
        <v>55</v>
      </c>
      <c r="C14" s="13" t="s">
        <v>56</v>
      </c>
      <c r="D14" s="12" t="s">
        <v>46</v>
      </c>
      <c r="E14" s="12" t="s">
        <v>57</v>
      </c>
      <c r="F14" s="12" t="s">
        <v>58</v>
      </c>
      <c r="G14" s="15">
        <v>20105500</v>
      </c>
      <c r="H14" s="15">
        <v>2211605</v>
      </c>
      <c r="I14" s="4"/>
      <c r="M14" s="5"/>
    </row>
    <row r="15" spans="1:13" ht="21.75" customHeight="1" x14ac:dyDescent="0.25">
      <c r="A15" s="11">
        <v>45296</v>
      </c>
      <c r="B15" s="12" t="s">
        <v>59</v>
      </c>
      <c r="C15" s="13" t="s">
        <v>60</v>
      </c>
      <c r="D15" s="12" t="s">
        <v>46</v>
      </c>
      <c r="E15" s="12" t="s">
        <v>57</v>
      </c>
      <c r="F15" s="12" t="s">
        <v>61</v>
      </c>
      <c r="G15" s="15">
        <v>8032000</v>
      </c>
      <c r="H15" s="15">
        <v>883520</v>
      </c>
      <c r="I15" s="4"/>
      <c r="M15" s="5"/>
    </row>
    <row r="16" spans="1:13" ht="21.75" customHeight="1" x14ac:dyDescent="0.25">
      <c r="A16" s="11">
        <v>45296</v>
      </c>
      <c r="B16" s="12" t="s">
        <v>62</v>
      </c>
      <c r="C16" s="13" t="s">
        <v>63</v>
      </c>
      <c r="D16" s="12" t="s">
        <v>46</v>
      </c>
      <c r="E16" s="12" t="s">
        <v>64</v>
      </c>
      <c r="F16" s="12" t="s">
        <v>65</v>
      </c>
      <c r="G16" s="15">
        <v>9260110</v>
      </c>
      <c r="H16" s="15">
        <v>1018612</v>
      </c>
      <c r="I16" s="4"/>
      <c r="M16" s="5"/>
    </row>
    <row r="17" spans="1:13" ht="21.75" customHeight="1" x14ac:dyDescent="0.25">
      <c r="A17" s="11">
        <v>45296</v>
      </c>
      <c r="B17" s="12" t="s">
        <v>66</v>
      </c>
      <c r="C17" s="13" t="s">
        <v>67</v>
      </c>
      <c r="D17" s="12" t="s">
        <v>46</v>
      </c>
      <c r="E17" s="12" t="s">
        <v>64</v>
      </c>
      <c r="F17" s="12" t="s">
        <v>68</v>
      </c>
      <c r="G17" s="15">
        <v>3790370</v>
      </c>
      <c r="H17" s="15">
        <v>416940</v>
      </c>
      <c r="I17" s="4"/>
      <c r="M17" s="5"/>
    </row>
    <row r="18" spans="1:13" ht="21.75" customHeight="1" x14ac:dyDescent="0.25">
      <c r="A18" s="11">
        <v>45296</v>
      </c>
      <c r="B18" s="12" t="s">
        <v>69</v>
      </c>
      <c r="C18" s="13" t="s">
        <v>70</v>
      </c>
      <c r="D18" s="12" t="s">
        <v>33</v>
      </c>
      <c r="E18" s="12" t="s">
        <v>71</v>
      </c>
      <c r="F18" s="12" t="s">
        <v>72</v>
      </c>
      <c r="G18" s="15">
        <v>7576000</v>
      </c>
      <c r="H18" s="15">
        <v>833360</v>
      </c>
      <c r="I18" s="4"/>
      <c r="M18" s="5"/>
    </row>
    <row r="19" spans="1:13" ht="21.75" customHeight="1" x14ac:dyDescent="0.25">
      <c r="A19" s="11">
        <v>45299</v>
      </c>
      <c r="B19" s="12" t="s">
        <v>73</v>
      </c>
      <c r="C19" s="13" t="s">
        <v>74</v>
      </c>
      <c r="D19" s="12" t="s">
        <v>75</v>
      </c>
      <c r="E19" s="12" t="s">
        <v>76</v>
      </c>
      <c r="F19" s="12" t="s">
        <v>77</v>
      </c>
      <c r="G19" s="15">
        <v>4682900</v>
      </c>
      <c r="H19" s="15">
        <v>515119</v>
      </c>
      <c r="I19" s="4"/>
      <c r="M19" s="5"/>
    </row>
    <row r="20" spans="1:13" ht="21.75" customHeight="1" x14ac:dyDescent="0.25">
      <c r="A20" s="11">
        <v>45299</v>
      </c>
      <c r="B20" s="12" t="s">
        <v>78</v>
      </c>
      <c r="C20" s="13" t="s">
        <v>79</v>
      </c>
      <c r="D20" s="12" t="s">
        <v>75</v>
      </c>
      <c r="E20" s="12" t="s">
        <v>80</v>
      </c>
      <c r="F20" s="12" t="s">
        <v>81</v>
      </c>
      <c r="G20" s="15">
        <v>2908500</v>
      </c>
      <c r="H20" s="15">
        <v>319935</v>
      </c>
      <c r="I20" s="4"/>
      <c r="M20" s="5"/>
    </row>
    <row r="21" spans="1:13" ht="17.25" customHeight="1" x14ac:dyDescent="0.25">
      <c r="A21" s="11">
        <v>45299</v>
      </c>
      <c r="B21" s="12" t="s">
        <v>82</v>
      </c>
      <c r="C21" s="13" t="s">
        <v>83</v>
      </c>
      <c r="D21" s="12" t="s">
        <v>75</v>
      </c>
      <c r="E21" s="12" t="s">
        <v>80</v>
      </c>
      <c r="F21" s="12" t="s">
        <v>84</v>
      </c>
      <c r="G21" s="15">
        <v>8530340</v>
      </c>
      <c r="H21" s="15">
        <v>938337</v>
      </c>
      <c r="I21" s="4"/>
      <c r="M21" s="5"/>
    </row>
    <row r="22" spans="1:13" ht="17.25" customHeight="1" x14ac:dyDescent="0.25">
      <c r="A22" s="11">
        <v>45299</v>
      </c>
      <c r="B22" s="12" t="s">
        <v>85</v>
      </c>
      <c r="C22" s="13" t="s">
        <v>86</v>
      </c>
      <c r="D22" s="12" t="s">
        <v>87</v>
      </c>
      <c r="E22" s="12" t="s">
        <v>88</v>
      </c>
      <c r="F22" s="12" t="s">
        <v>89</v>
      </c>
      <c r="G22" s="15">
        <v>2626001</v>
      </c>
      <c r="H22" s="15">
        <v>288860</v>
      </c>
      <c r="I22" s="4"/>
      <c r="M22" s="5"/>
    </row>
    <row r="23" spans="1:13" ht="17.25" customHeight="1" x14ac:dyDescent="0.25">
      <c r="A23" s="11">
        <v>45299</v>
      </c>
      <c r="B23" s="12" t="s">
        <v>90</v>
      </c>
      <c r="C23" s="15">
        <v>0</v>
      </c>
      <c r="D23" s="12" t="s">
        <v>87</v>
      </c>
      <c r="E23" s="12" t="s">
        <v>91</v>
      </c>
      <c r="F23" s="12" t="s">
        <v>81</v>
      </c>
      <c r="G23" s="15">
        <v>2358500</v>
      </c>
      <c r="H23" s="15">
        <v>259435</v>
      </c>
      <c r="I23" s="4"/>
      <c r="M23" s="5"/>
    </row>
    <row r="24" spans="1:13" ht="17.25" customHeight="1" x14ac:dyDescent="0.25">
      <c r="A24" s="11">
        <v>45299</v>
      </c>
      <c r="B24" s="12" t="s">
        <v>92</v>
      </c>
      <c r="C24" s="13" t="s">
        <v>93</v>
      </c>
      <c r="D24" s="12" t="s">
        <v>33</v>
      </c>
      <c r="E24" s="12" t="s">
        <v>94</v>
      </c>
      <c r="F24" s="12" t="s">
        <v>95</v>
      </c>
      <c r="G24" s="15">
        <v>1435300</v>
      </c>
      <c r="H24" s="15">
        <v>157883</v>
      </c>
      <c r="I24" s="4"/>
      <c r="M24" s="5"/>
    </row>
    <row r="25" spans="1:13" ht="17.25" customHeight="1" x14ac:dyDescent="0.25">
      <c r="A25" s="11">
        <v>45299</v>
      </c>
      <c r="B25" s="12" t="s">
        <v>96</v>
      </c>
      <c r="C25" s="13" t="s">
        <v>97</v>
      </c>
      <c r="D25" s="12" t="s">
        <v>33</v>
      </c>
      <c r="E25" s="12" t="s">
        <v>98</v>
      </c>
      <c r="F25" s="12" t="s">
        <v>99</v>
      </c>
      <c r="G25" s="15">
        <v>104883</v>
      </c>
      <c r="H25" s="28">
        <v>11537</v>
      </c>
      <c r="I25" s="4"/>
      <c r="M25" s="5"/>
    </row>
    <row r="26" spans="1:13" ht="17.25" customHeight="1" x14ac:dyDescent="0.25">
      <c r="A26" s="11">
        <v>45299</v>
      </c>
      <c r="B26" s="12" t="s">
        <v>100</v>
      </c>
      <c r="C26" s="13" t="s">
        <v>101</v>
      </c>
      <c r="D26" s="12" t="s">
        <v>33</v>
      </c>
      <c r="E26" s="12" t="s">
        <v>102</v>
      </c>
      <c r="F26" s="12" t="s">
        <v>103</v>
      </c>
      <c r="G26" s="15">
        <v>282100</v>
      </c>
      <c r="H26" s="15">
        <v>31031</v>
      </c>
      <c r="I26" s="4"/>
      <c r="M26" s="5"/>
    </row>
    <row r="27" spans="1:13" ht="17.25" customHeight="1" x14ac:dyDescent="0.25">
      <c r="A27" s="11">
        <v>45299</v>
      </c>
      <c r="B27" s="12" t="s">
        <v>104</v>
      </c>
      <c r="C27" s="13" t="s">
        <v>105</v>
      </c>
      <c r="D27" s="12" t="s">
        <v>33</v>
      </c>
      <c r="E27" s="12" t="s">
        <v>106</v>
      </c>
      <c r="F27" s="12" t="s">
        <v>107</v>
      </c>
      <c r="G27" s="15">
        <v>305867</v>
      </c>
      <c r="H27" s="15">
        <v>33645</v>
      </c>
      <c r="I27" s="4"/>
      <c r="M27" s="5"/>
    </row>
    <row r="28" spans="1:13" ht="17.25" customHeight="1" x14ac:dyDescent="0.25">
      <c r="A28" s="11">
        <v>45299</v>
      </c>
      <c r="B28" s="12" t="s">
        <v>108</v>
      </c>
      <c r="C28" s="13" t="s">
        <v>109</v>
      </c>
      <c r="D28" s="12" t="s">
        <v>33</v>
      </c>
      <c r="E28" s="12" t="s">
        <v>110</v>
      </c>
      <c r="F28" s="12" t="s">
        <v>111</v>
      </c>
      <c r="G28" s="15">
        <v>256783</v>
      </c>
      <c r="H28" s="15">
        <v>28246</v>
      </c>
      <c r="I28" s="4"/>
      <c r="M28" s="5"/>
    </row>
    <row r="29" spans="1:13" ht="17.25" customHeight="1" x14ac:dyDescent="0.25">
      <c r="A29" s="11">
        <v>45299</v>
      </c>
      <c r="B29" s="12" t="s">
        <v>112</v>
      </c>
      <c r="C29" s="13" t="s">
        <v>113</v>
      </c>
      <c r="D29" s="12" t="s">
        <v>33</v>
      </c>
      <c r="E29" s="12" t="s">
        <v>114</v>
      </c>
      <c r="F29" s="12" t="s">
        <v>115</v>
      </c>
      <c r="G29" s="15">
        <v>304500</v>
      </c>
      <c r="H29" s="15">
        <v>33495</v>
      </c>
      <c r="I29" s="4"/>
      <c r="M29" s="5"/>
    </row>
    <row r="30" spans="1:13" ht="17.25" customHeight="1" x14ac:dyDescent="0.25">
      <c r="A30" s="11">
        <v>45299</v>
      </c>
      <c r="B30" s="12" t="s">
        <v>116</v>
      </c>
      <c r="C30" s="13" t="s">
        <v>117</v>
      </c>
      <c r="D30" s="12" t="s">
        <v>33</v>
      </c>
      <c r="E30" s="12" t="s">
        <v>118</v>
      </c>
      <c r="F30" s="12" t="s">
        <v>119</v>
      </c>
      <c r="G30" s="15">
        <v>273000</v>
      </c>
      <c r="H30" s="15">
        <v>30030</v>
      </c>
      <c r="I30" s="4"/>
      <c r="M30" s="5"/>
    </row>
    <row r="31" spans="1:13" ht="17.25" customHeight="1" x14ac:dyDescent="0.25">
      <c r="A31" s="11">
        <v>45300</v>
      </c>
      <c r="B31" s="12" t="s">
        <v>120</v>
      </c>
      <c r="C31" s="13" t="s">
        <v>121</v>
      </c>
      <c r="D31" s="12" t="s">
        <v>122</v>
      </c>
      <c r="E31" s="12" t="s">
        <v>123</v>
      </c>
      <c r="F31" s="12" t="s">
        <v>124</v>
      </c>
      <c r="G31" s="15">
        <v>36634724</v>
      </c>
      <c r="H31" s="15">
        <v>4029819</v>
      </c>
      <c r="I31" s="4"/>
      <c r="M31" s="5"/>
    </row>
    <row r="32" spans="1:13" ht="17.25" customHeight="1" x14ac:dyDescent="0.25">
      <c r="A32" s="11">
        <v>45300</v>
      </c>
      <c r="B32" s="12" t="s">
        <v>125</v>
      </c>
      <c r="C32" s="13" t="s">
        <v>126</v>
      </c>
      <c r="D32" s="12" t="s">
        <v>122</v>
      </c>
      <c r="E32" s="12" t="s">
        <v>123</v>
      </c>
      <c r="F32" s="12" t="s">
        <v>127</v>
      </c>
      <c r="G32" s="15">
        <v>6240000</v>
      </c>
      <c r="H32" s="15">
        <v>686400</v>
      </c>
      <c r="I32" s="4"/>
      <c r="M32" s="5"/>
    </row>
    <row r="33" spans="1:13" ht="17.25" customHeight="1" x14ac:dyDescent="0.25">
      <c r="A33" s="11">
        <v>45300</v>
      </c>
      <c r="B33" s="12" t="s">
        <v>128</v>
      </c>
      <c r="C33" s="13" t="s">
        <v>129</v>
      </c>
      <c r="D33" s="12" t="s">
        <v>122</v>
      </c>
      <c r="E33" s="12" t="s">
        <v>123</v>
      </c>
      <c r="F33" s="12" t="s">
        <v>130</v>
      </c>
      <c r="G33" s="15">
        <v>10717500</v>
      </c>
      <c r="H33" s="15">
        <v>1178925</v>
      </c>
      <c r="I33" s="4"/>
      <c r="M33" s="5"/>
    </row>
    <row r="34" spans="1:13" ht="17.25" customHeight="1" x14ac:dyDescent="0.25">
      <c r="A34" s="11">
        <v>45300</v>
      </c>
      <c r="B34" s="12" t="s">
        <v>131</v>
      </c>
      <c r="C34" s="13" t="s">
        <v>132</v>
      </c>
      <c r="D34" s="12" t="s">
        <v>133</v>
      </c>
      <c r="E34" s="12" t="s">
        <v>134</v>
      </c>
      <c r="F34" s="12" t="s">
        <v>124</v>
      </c>
      <c r="G34" s="15">
        <v>39575600</v>
      </c>
      <c r="H34" s="15">
        <v>4353316</v>
      </c>
      <c r="I34" s="4"/>
      <c r="M34" s="5"/>
    </row>
    <row r="35" spans="1:13" ht="17.25" customHeight="1" x14ac:dyDescent="0.25">
      <c r="A35" s="11">
        <v>45300</v>
      </c>
      <c r="B35" s="12" t="s">
        <v>135</v>
      </c>
      <c r="C35" s="13" t="s">
        <v>136</v>
      </c>
      <c r="D35" s="12" t="s">
        <v>137</v>
      </c>
      <c r="E35" s="12" t="s">
        <v>138</v>
      </c>
      <c r="F35" s="12" t="s">
        <v>17</v>
      </c>
      <c r="G35" s="15">
        <v>97700</v>
      </c>
      <c r="H35" s="15">
        <v>10747</v>
      </c>
      <c r="I35" s="4"/>
      <c r="M35" s="5"/>
    </row>
    <row r="36" spans="1:13" ht="17.25" customHeight="1" x14ac:dyDescent="0.25">
      <c r="A36" s="11">
        <v>45300</v>
      </c>
      <c r="B36" s="12" t="s">
        <v>139</v>
      </c>
      <c r="C36" s="13" t="s">
        <v>140</v>
      </c>
      <c r="D36" s="12" t="s">
        <v>137</v>
      </c>
      <c r="E36" s="12" t="s">
        <v>138</v>
      </c>
      <c r="F36" s="12" t="s">
        <v>124</v>
      </c>
      <c r="G36" s="15">
        <v>366360</v>
      </c>
      <c r="H36" s="15">
        <v>40300</v>
      </c>
      <c r="I36" s="4"/>
      <c r="M36" s="5"/>
    </row>
    <row r="37" spans="1:13" ht="17.25" customHeight="1" x14ac:dyDescent="0.25">
      <c r="A37" s="11">
        <v>45300</v>
      </c>
      <c r="B37" s="12" t="s">
        <v>141</v>
      </c>
      <c r="C37" s="13" t="s">
        <v>142</v>
      </c>
      <c r="D37" s="12" t="s">
        <v>137</v>
      </c>
      <c r="E37" s="12" t="s">
        <v>143</v>
      </c>
      <c r="F37" s="12" t="s">
        <v>124</v>
      </c>
      <c r="G37" s="15">
        <v>272973</v>
      </c>
      <c r="H37" s="28">
        <v>30027</v>
      </c>
      <c r="I37" s="4"/>
      <c r="M37" s="5"/>
    </row>
    <row r="38" spans="1:13" ht="17.25" customHeight="1" x14ac:dyDescent="0.25">
      <c r="A38" s="11">
        <v>45300</v>
      </c>
      <c r="B38" s="12" t="s">
        <v>144</v>
      </c>
      <c r="C38" s="13" t="s">
        <v>145</v>
      </c>
      <c r="D38" s="12" t="s">
        <v>15</v>
      </c>
      <c r="E38" s="12" t="s">
        <v>146</v>
      </c>
      <c r="F38" s="12" t="s">
        <v>147</v>
      </c>
      <c r="G38" s="15">
        <v>1444880</v>
      </c>
      <c r="H38" s="15">
        <v>158936</v>
      </c>
      <c r="I38" s="4"/>
      <c r="M38" s="5"/>
    </row>
    <row r="39" spans="1:13" ht="17.25" customHeight="1" x14ac:dyDescent="0.25">
      <c r="A39" s="11">
        <v>45300</v>
      </c>
      <c r="B39" s="12" t="s">
        <v>148</v>
      </c>
      <c r="C39" s="13" t="s">
        <v>149</v>
      </c>
      <c r="D39" s="12" t="s">
        <v>15</v>
      </c>
      <c r="E39" s="12" t="s">
        <v>146</v>
      </c>
      <c r="F39" s="12" t="s">
        <v>22</v>
      </c>
      <c r="G39" s="15">
        <v>391500</v>
      </c>
      <c r="H39" s="15">
        <v>43065</v>
      </c>
      <c r="I39" s="4"/>
      <c r="M39" s="5"/>
    </row>
    <row r="40" spans="1:13" ht="17.25" customHeight="1" x14ac:dyDescent="0.25">
      <c r="A40" s="11">
        <v>45300</v>
      </c>
      <c r="B40" s="12" t="s">
        <v>150</v>
      </c>
      <c r="C40" s="13" t="s">
        <v>151</v>
      </c>
      <c r="D40" s="12" t="s">
        <v>15</v>
      </c>
      <c r="E40" s="12" t="s">
        <v>152</v>
      </c>
      <c r="F40" s="12" t="s">
        <v>43</v>
      </c>
      <c r="G40" s="15">
        <v>1160000</v>
      </c>
      <c r="H40" s="15">
        <v>127600</v>
      </c>
      <c r="I40" s="4"/>
      <c r="M40" s="5"/>
    </row>
    <row r="41" spans="1:13" ht="17.25" customHeight="1" x14ac:dyDescent="0.25">
      <c r="A41" s="11">
        <v>45300</v>
      </c>
      <c r="B41" s="12" t="s">
        <v>153</v>
      </c>
      <c r="C41" s="13" t="s">
        <v>154</v>
      </c>
      <c r="D41" s="12" t="s">
        <v>155</v>
      </c>
      <c r="E41" s="12" t="s">
        <v>156</v>
      </c>
      <c r="F41" s="12" t="s">
        <v>124</v>
      </c>
      <c r="G41" s="15">
        <v>1646662</v>
      </c>
      <c r="H41" s="15">
        <v>181132</v>
      </c>
      <c r="I41" s="4"/>
      <c r="M41" s="5"/>
    </row>
    <row r="42" spans="1:13" ht="17.25" customHeight="1" x14ac:dyDescent="0.25">
      <c r="A42" s="11">
        <v>45300</v>
      </c>
      <c r="B42" s="12" t="s">
        <v>157</v>
      </c>
      <c r="C42" s="13" t="s">
        <v>158</v>
      </c>
      <c r="D42" s="12" t="s">
        <v>155</v>
      </c>
      <c r="E42" s="12" t="s">
        <v>159</v>
      </c>
      <c r="F42" s="12" t="s">
        <v>124</v>
      </c>
      <c r="G42" s="15">
        <v>2263920</v>
      </c>
      <c r="H42" s="15">
        <v>249031</v>
      </c>
      <c r="I42" s="4"/>
      <c r="M42" s="5"/>
    </row>
    <row r="43" spans="1:13" ht="17.25" customHeight="1" x14ac:dyDescent="0.25">
      <c r="A43" s="11">
        <v>45300</v>
      </c>
      <c r="B43" s="12" t="s">
        <v>160</v>
      </c>
      <c r="C43" s="13" t="s">
        <v>161</v>
      </c>
      <c r="D43" s="12" t="s">
        <v>155</v>
      </c>
      <c r="E43" s="12" t="s">
        <v>162</v>
      </c>
      <c r="F43" s="12" t="s">
        <v>124</v>
      </c>
      <c r="G43" s="15">
        <v>3163000</v>
      </c>
      <c r="H43" s="15">
        <v>347930</v>
      </c>
      <c r="I43" s="4"/>
      <c r="M43" s="5"/>
    </row>
    <row r="44" spans="1:13" ht="17.25" customHeight="1" x14ac:dyDescent="0.25">
      <c r="A44" s="11">
        <v>45300</v>
      </c>
      <c r="B44" s="12" t="s">
        <v>163</v>
      </c>
      <c r="C44" s="13" t="s">
        <v>164</v>
      </c>
      <c r="D44" s="12" t="s">
        <v>155</v>
      </c>
      <c r="E44" s="12" t="s">
        <v>165</v>
      </c>
      <c r="F44" s="12" t="s">
        <v>124</v>
      </c>
      <c r="G44" s="15">
        <v>1086200</v>
      </c>
      <c r="H44" s="15">
        <v>119482</v>
      </c>
      <c r="I44" s="4"/>
      <c r="M44" s="5"/>
    </row>
    <row r="45" spans="1:13" ht="17.25" customHeight="1" x14ac:dyDescent="0.25">
      <c r="A45" s="11">
        <v>45301</v>
      </c>
      <c r="B45" s="12" t="s">
        <v>166</v>
      </c>
      <c r="C45" s="13" t="s">
        <v>167</v>
      </c>
      <c r="D45" s="12" t="s">
        <v>168</v>
      </c>
      <c r="E45" s="12" t="s">
        <v>71</v>
      </c>
      <c r="F45" s="12" t="s">
        <v>72</v>
      </c>
      <c r="G45" s="15">
        <v>15976000</v>
      </c>
      <c r="H45" s="15">
        <v>1757360</v>
      </c>
      <c r="I45" s="4"/>
      <c r="M45" s="5"/>
    </row>
    <row r="46" spans="1:13" ht="17.25" customHeight="1" x14ac:dyDescent="0.25">
      <c r="A46" s="11">
        <v>45302</v>
      </c>
      <c r="B46" s="12" t="s">
        <v>169</v>
      </c>
      <c r="C46" s="13" t="s">
        <v>170</v>
      </c>
      <c r="D46" s="12" t="s">
        <v>15</v>
      </c>
      <c r="E46" s="12" t="s">
        <v>171</v>
      </c>
      <c r="F46" s="12" t="s">
        <v>172</v>
      </c>
      <c r="G46" s="15">
        <v>11238800</v>
      </c>
      <c r="H46" s="15">
        <v>1236268</v>
      </c>
      <c r="I46" s="4"/>
      <c r="M46" s="5"/>
    </row>
    <row r="47" spans="1:13" ht="17.25" customHeight="1" x14ac:dyDescent="0.25">
      <c r="A47" s="11">
        <v>45302</v>
      </c>
      <c r="B47" s="12" t="s">
        <v>173</v>
      </c>
      <c r="C47" s="13" t="s">
        <v>174</v>
      </c>
      <c r="D47" s="12" t="s">
        <v>15</v>
      </c>
      <c r="E47" s="12" t="s">
        <v>171</v>
      </c>
      <c r="F47" s="12" t="s">
        <v>175</v>
      </c>
      <c r="G47" s="15">
        <v>9760100</v>
      </c>
      <c r="H47" s="15">
        <v>1073611</v>
      </c>
      <c r="I47" s="4"/>
      <c r="M47" s="5"/>
    </row>
    <row r="48" spans="1:13" ht="17.25" customHeight="1" x14ac:dyDescent="0.25">
      <c r="A48" s="11">
        <v>45302</v>
      </c>
      <c r="B48" s="12" t="s">
        <v>176</v>
      </c>
      <c r="C48" s="13" t="s">
        <v>177</v>
      </c>
      <c r="D48" s="12" t="s">
        <v>15</v>
      </c>
      <c r="E48" s="12" t="s">
        <v>171</v>
      </c>
      <c r="F48" s="12" t="s">
        <v>147</v>
      </c>
      <c r="G48" s="15">
        <v>9432800</v>
      </c>
      <c r="H48" s="15">
        <v>1037608</v>
      </c>
      <c r="I48" s="4"/>
      <c r="M48" s="5"/>
    </row>
    <row r="49" spans="1:13" ht="17.25" customHeight="1" x14ac:dyDescent="0.25">
      <c r="A49" s="11">
        <v>45302</v>
      </c>
      <c r="B49" s="12" t="s">
        <v>178</v>
      </c>
      <c r="C49" s="13" t="s">
        <v>179</v>
      </c>
      <c r="D49" s="12" t="s">
        <v>15</v>
      </c>
      <c r="E49" s="12" t="s">
        <v>171</v>
      </c>
      <c r="F49" s="12" t="s">
        <v>22</v>
      </c>
      <c r="G49" s="15">
        <v>8536600</v>
      </c>
      <c r="H49" s="15">
        <v>939026</v>
      </c>
      <c r="I49" s="4"/>
      <c r="M49" s="5"/>
    </row>
    <row r="50" spans="1:13" ht="17.25" customHeight="1" x14ac:dyDescent="0.25">
      <c r="A50" s="11"/>
      <c r="B50" s="12"/>
      <c r="C50" s="13"/>
      <c r="D50" s="12"/>
      <c r="E50" s="12"/>
      <c r="F50" s="12"/>
      <c r="G50" s="15"/>
      <c r="H50" s="15"/>
      <c r="I50" s="4"/>
      <c r="M50" s="5"/>
    </row>
    <row r="51" spans="1:13" ht="17.25" customHeight="1" x14ac:dyDescent="0.25">
      <c r="A51" s="11">
        <v>45303</v>
      </c>
      <c r="B51" s="12" t="s">
        <v>180</v>
      </c>
      <c r="C51" s="13" t="s">
        <v>181</v>
      </c>
      <c r="D51" s="12" t="s">
        <v>122</v>
      </c>
      <c r="E51" s="12" t="s">
        <v>123</v>
      </c>
      <c r="F51" s="12" t="s">
        <v>182</v>
      </c>
      <c r="G51" s="15">
        <v>3120000</v>
      </c>
      <c r="H51" s="15">
        <v>343200</v>
      </c>
      <c r="I51" s="4"/>
      <c r="M51" s="5"/>
    </row>
    <row r="52" spans="1:13" ht="17.25" customHeight="1" x14ac:dyDescent="0.25">
      <c r="A52" s="11">
        <v>45303</v>
      </c>
      <c r="B52" s="12" t="s">
        <v>183</v>
      </c>
      <c r="C52" s="13" t="s">
        <v>184</v>
      </c>
      <c r="D52" s="12" t="s">
        <v>185</v>
      </c>
      <c r="E52" s="12" t="s">
        <v>186</v>
      </c>
      <c r="F52" s="12" t="s">
        <v>187</v>
      </c>
      <c r="G52" s="15">
        <v>5256000</v>
      </c>
      <c r="H52" s="15">
        <v>578160</v>
      </c>
      <c r="I52" s="4"/>
      <c r="M52" s="5"/>
    </row>
    <row r="53" spans="1:13" ht="17.25" customHeight="1" x14ac:dyDescent="0.25">
      <c r="A53" s="11">
        <v>45303</v>
      </c>
      <c r="B53" s="12" t="s">
        <v>188</v>
      </c>
      <c r="C53" s="13" t="s">
        <v>189</v>
      </c>
      <c r="D53" s="12" t="s">
        <v>185</v>
      </c>
      <c r="E53" s="12" t="s">
        <v>190</v>
      </c>
      <c r="F53" s="12" t="s">
        <v>191</v>
      </c>
      <c r="G53" s="15">
        <v>3492428</v>
      </c>
      <c r="H53" s="15">
        <v>384167</v>
      </c>
      <c r="I53" s="4"/>
      <c r="M53" s="5"/>
    </row>
    <row r="54" spans="1:13" ht="17.25" customHeight="1" x14ac:dyDescent="0.25">
      <c r="A54" s="11">
        <v>45303</v>
      </c>
      <c r="B54" s="12" t="s">
        <v>192</v>
      </c>
      <c r="C54" s="13" t="s">
        <v>193</v>
      </c>
      <c r="D54" s="12" t="s">
        <v>185</v>
      </c>
      <c r="E54" s="12" t="s">
        <v>194</v>
      </c>
      <c r="F54" s="12" t="s">
        <v>195</v>
      </c>
      <c r="G54" s="15">
        <v>860000</v>
      </c>
      <c r="H54" s="15">
        <v>94600</v>
      </c>
      <c r="I54" s="4"/>
      <c r="M54" s="5"/>
    </row>
    <row r="55" spans="1:13" ht="17.25" customHeight="1" x14ac:dyDescent="0.25">
      <c r="A55" s="11">
        <v>45303</v>
      </c>
      <c r="B55" s="12" t="s">
        <v>196</v>
      </c>
      <c r="C55" s="13" t="s">
        <v>197</v>
      </c>
      <c r="D55" s="12" t="s">
        <v>198</v>
      </c>
      <c r="E55" s="12" t="s">
        <v>199</v>
      </c>
      <c r="F55" s="12" t="s">
        <v>200</v>
      </c>
      <c r="G55" s="15">
        <v>257479200</v>
      </c>
      <c r="H55" s="15">
        <v>28322712</v>
      </c>
      <c r="I55" s="4"/>
      <c r="M55" s="5"/>
    </row>
    <row r="56" spans="1:13" ht="17.25" customHeight="1" x14ac:dyDescent="0.25">
      <c r="A56" s="11">
        <v>45304</v>
      </c>
      <c r="B56" s="12" t="s">
        <v>201</v>
      </c>
      <c r="C56" s="13" t="s">
        <v>202</v>
      </c>
      <c r="D56" s="12" t="s">
        <v>198</v>
      </c>
      <c r="E56" s="12" t="s">
        <v>199</v>
      </c>
      <c r="F56" s="12" t="s">
        <v>200</v>
      </c>
      <c r="G56" s="15">
        <v>64369800</v>
      </c>
      <c r="H56" s="15">
        <v>7080678</v>
      </c>
      <c r="I56" s="4"/>
      <c r="M56" s="5"/>
    </row>
    <row r="57" spans="1:13" ht="17.25" customHeight="1" x14ac:dyDescent="0.25">
      <c r="A57" s="11">
        <v>45308</v>
      </c>
      <c r="B57" s="12" t="s">
        <v>203</v>
      </c>
      <c r="C57" s="13" t="s">
        <v>204</v>
      </c>
      <c r="D57" s="12" t="s">
        <v>185</v>
      </c>
      <c r="E57" s="12" t="s">
        <v>205</v>
      </c>
      <c r="F57" s="12" t="s">
        <v>206</v>
      </c>
      <c r="G57" s="15">
        <v>196500</v>
      </c>
      <c r="H57" s="15">
        <v>21615</v>
      </c>
      <c r="I57" s="4"/>
      <c r="M57" s="5"/>
    </row>
    <row r="58" spans="1:13" ht="17.25" customHeight="1" x14ac:dyDescent="0.25">
      <c r="A58" s="11">
        <v>45308</v>
      </c>
      <c r="B58" s="12" t="s">
        <v>207</v>
      </c>
      <c r="C58" s="13" t="s">
        <v>208</v>
      </c>
      <c r="D58" s="12" t="s">
        <v>209</v>
      </c>
      <c r="E58" s="12" t="s">
        <v>210</v>
      </c>
      <c r="F58" s="12" t="s">
        <v>211</v>
      </c>
      <c r="G58" s="15">
        <v>17268083</v>
      </c>
      <c r="H58" s="15">
        <v>1899489</v>
      </c>
      <c r="I58" s="4"/>
      <c r="M58" s="5"/>
    </row>
    <row r="59" spans="1:13" ht="17.25" customHeight="1" x14ac:dyDescent="0.25">
      <c r="A59" s="11">
        <v>45308</v>
      </c>
      <c r="B59" s="12" t="s">
        <v>212</v>
      </c>
      <c r="C59" s="13" t="s">
        <v>213</v>
      </c>
      <c r="D59" s="12" t="s">
        <v>209</v>
      </c>
      <c r="E59" s="12" t="s">
        <v>210</v>
      </c>
      <c r="F59" s="12" t="s">
        <v>214</v>
      </c>
      <c r="G59" s="15">
        <v>400000</v>
      </c>
      <c r="H59" s="15">
        <v>44000</v>
      </c>
      <c r="I59" s="4"/>
      <c r="M59" s="5"/>
    </row>
    <row r="60" spans="1:13" ht="17.25" customHeight="1" x14ac:dyDescent="0.25">
      <c r="A60" s="11">
        <v>45308</v>
      </c>
      <c r="B60" s="12" t="s">
        <v>215</v>
      </c>
      <c r="C60" s="13" t="s">
        <v>216</v>
      </c>
      <c r="D60" s="12" t="s">
        <v>209</v>
      </c>
      <c r="E60" s="12" t="s">
        <v>210</v>
      </c>
      <c r="F60" s="12" t="s">
        <v>217</v>
      </c>
      <c r="G60" s="15">
        <v>13459469</v>
      </c>
      <c r="H60" s="15">
        <v>1480541</v>
      </c>
      <c r="I60" s="4"/>
      <c r="M60" s="5"/>
    </row>
    <row r="61" spans="1:13" ht="17.25" customHeight="1" x14ac:dyDescent="0.25">
      <c r="A61" s="11">
        <v>45308</v>
      </c>
      <c r="B61" s="12" t="s">
        <v>218</v>
      </c>
      <c r="C61" s="13" t="s">
        <v>219</v>
      </c>
      <c r="D61" s="12" t="s">
        <v>220</v>
      </c>
      <c r="E61" s="12" t="s">
        <v>221</v>
      </c>
      <c r="F61" s="12" t="s">
        <v>222</v>
      </c>
      <c r="G61" s="15">
        <v>48608466</v>
      </c>
      <c r="H61" s="15">
        <v>5346931</v>
      </c>
      <c r="I61" s="4"/>
      <c r="M61" s="5"/>
    </row>
    <row r="62" spans="1:13" ht="17.25" customHeight="1" x14ac:dyDescent="0.25">
      <c r="A62" s="11">
        <v>45308</v>
      </c>
      <c r="B62" s="12" t="s">
        <v>223</v>
      </c>
      <c r="C62" s="13" t="s">
        <v>224</v>
      </c>
      <c r="D62" s="12" t="s">
        <v>168</v>
      </c>
      <c r="E62" s="12" t="s">
        <v>225</v>
      </c>
      <c r="F62" s="12" t="s">
        <v>226</v>
      </c>
      <c r="G62" s="15">
        <v>8940000</v>
      </c>
      <c r="H62" s="15">
        <v>983400</v>
      </c>
      <c r="I62" s="4"/>
      <c r="M62" s="5"/>
    </row>
    <row r="63" spans="1:13" ht="17.25" customHeight="1" x14ac:dyDescent="0.25">
      <c r="A63" s="11">
        <v>45309</v>
      </c>
      <c r="B63" s="12" t="s">
        <v>227</v>
      </c>
      <c r="C63" s="13" t="s">
        <v>228</v>
      </c>
      <c r="D63" s="12" t="s">
        <v>198</v>
      </c>
      <c r="E63" s="12" t="s">
        <v>199</v>
      </c>
      <c r="F63" s="12" t="s">
        <v>200</v>
      </c>
      <c r="G63" s="13" t="s">
        <v>229</v>
      </c>
      <c r="H63" s="15"/>
      <c r="I63" s="4"/>
      <c r="M63" s="5"/>
    </row>
    <row r="64" spans="1:13" ht="17.25" customHeight="1" x14ac:dyDescent="0.25">
      <c r="A64" s="11">
        <v>45309</v>
      </c>
      <c r="B64" s="12" t="s">
        <v>230</v>
      </c>
      <c r="C64" s="13" t="s">
        <v>231</v>
      </c>
      <c r="D64" s="12" t="s">
        <v>209</v>
      </c>
      <c r="E64" s="12" t="s">
        <v>210</v>
      </c>
      <c r="F64" s="12" t="s">
        <v>232</v>
      </c>
      <c r="G64" s="15">
        <v>2000000</v>
      </c>
      <c r="H64" s="15">
        <v>220000</v>
      </c>
      <c r="I64" s="4"/>
      <c r="M64" s="5"/>
    </row>
    <row r="65" spans="1:13" ht="17.25" customHeight="1" x14ac:dyDescent="0.25">
      <c r="A65" s="11">
        <v>45311</v>
      </c>
      <c r="B65" s="12" t="s">
        <v>233</v>
      </c>
      <c r="C65" s="13" t="s">
        <v>234</v>
      </c>
      <c r="D65" s="12" t="s">
        <v>235</v>
      </c>
      <c r="E65" s="12" t="s">
        <v>236</v>
      </c>
      <c r="F65" s="12" t="s">
        <v>237</v>
      </c>
      <c r="G65" s="15">
        <v>73800</v>
      </c>
      <c r="H65" s="15">
        <v>8118</v>
      </c>
      <c r="I65" s="4"/>
      <c r="M65" s="5"/>
    </row>
    <row r="66" spans="1:13" ht="17.25" customHeight="1" x14ac:dyDescent="0.25">
      <c r="A66" s="11">
        <v>45311</v>
      </c>
      <c r="B66" s="12" t="s">
        <v>238</v>
      </c>
      <c r="C66" s="13" t="s">
        <v>239</v>
      </c>
      <c r="D66" s="12" t="s">
        <v>235</v>
      </c>
      <c r="E66" s="12" t="s">
        <v>240</v>
      </c>
      <c r="F66" s="12" t="s">
        <v>124</v>
      </c>
      <c r="G66" s="15">
        <v>7561270</v>
      </c>
      <c r="H66" s="15">
        <v>831739</v>
      </c>
      <c r="I66" s="4"/>
      <c r="M66" s="5"/>
    </row>
    <row r="67" spans="1:13" ht="17.25" customHeight="1" x14ac:dyDescent="0.25">
      <c r="A67" s="11">
        <v>45311</v>
      </c>
      <c r="B67" s="12" t="s">
        <v>241</v>
      </c>
      <c r="C67" s="13" t="s">
        <v>242</v>
      </c>
      <c r="D67" s="12" t="s">
        <v>235</v>
      </c>
      <c r="E67" s="12" t="s">
        <v>243</v>
      </c>
      <c r="F67" s="12" t="s">
        <v>124</v>
      </c>
      <c r="G67" s="15">
        <v>951000</v>
      </c>
      <c r="H67" s="15">
        <v>104610</v>
      </c>
      <c r="I67" s="4"/>
      <c r="M67" s="5"/>
    </row>
    <row r="68" spans="1:13" ht="17.25" customHeight="1" x14ac:dyDescent="0.25">
      <c r="A68" s="11">
        <v>45311</v>
      </c>
      <c r="B68" s="12" t="s">
        <v>244</v>
      </c>
      <c r="C68" s="13" t="s">
        <v>245</v>
      </c>
      <c r="D68" s="12" t="s">
        <v>235</v>
      </c>
      <c r="E68" s="12" t="s">
        <v>246</v>
      </c>
      <c r="F68" s="12" t="s">
        <v>124</v>
      </c>
      <c r="G68" s="15">
        <v>333720</v>
      </c>
      <c r="H68" s="15">
        <v>36709</v>
      </c>
      <c r="I68" s="4"/>
      <c r="M68" s="5"/>
    </row>
    <row r="69" spans="1:13" ht="17.25" customHeight="1" x14ac:dyDescent="0.25">
      <c r="A69" s="11">
        <v>45311</v>
      </c>
      <c r="B69" s="12" t="s">
        <v>247</v>
      </c>
      <c r="C69" s="13" t="s">
        <v>248</v>
      </c>
      <c r="D69" s="12" t="s">
        <v>15</v>
      </c>
      <c r="E69" s="12" t="s">
        <v>249</v>
      </c>
      <c r="F69" s="12" t="s">
        <v>250</v>
      </c>
      <c r="G69" s="15">
        <v>18474000</v>
      </c>
      <c r="H69" s="15">
        <v>2032140</v>
      </c>
      <c r="I69" s="4"/>
      <c r="M69" s="5"/>
    </row>
    <row r="70" spans="1:13" ht="17.25" customHeight="1" x14ac:dyDescent="0.25">
      <c r="A70" s="11">
        <v>45311</v>
      </c>
      <c r="B70" s="12" t="s">
        <v>251</v>
      </c>
      <c r="C70" s="13" t="s">
        <v>252</v>
      </c>
      <c r="D70" s="12" t="s">
        <v>15</v>
      </c>
      <c r="E70" s="12" t="s">
        <v>249</v>
      </c>
      <c r="F70" s="12" t="s">
        <v>253</v>
      </c>
      <c r="G70" s="15">
        <v>18474000</v>
      </c>
      <c r="H70" s="15">
        <v>2032140</v>
      </c>
      <c r="I70" s="4"/>
      <c r="M70" s="5"/>
    </row>
    <row r="71" spans="1:13" ht="17.25" customHeight="1" x14ac:dyDescent="0.25">
      <c r="A71" s="11">
        <v>45311</v>
      </c>
      <c r="B71" s="12" t="s">
        <v>254</v>
      </c>
      <c r="C71" s="13" t="s">
        <v>255</v>
      </c>
      <c r="D71" s="12" t="s">
        <v>15</v>
      </c>
      <c r="E71" s="12" t="s">
        <v>249</v>
      </c>
      <c r="F71" s="12" t="s">
        <v>256</v>
      </c>
      <c r="G71" s="15">
        <v>8916300</v>
      </c>
      <c r="H71" s="15">
        <v>980793</v>
      </c>
      <c r="I71" s="4"/>
      <c r="M71" s="5"/>
    </row>
    <row r="72" spans="1:13" ht="17.25" customHeight="1" x14ac:dyDescent="0.25">
      <c r="A72" s="11">
        <v>45311</v>
      </c>
      <c r="B72" s="12" t="s">
        <v>257</v>
      </c>
      <c r="C72" s="13" t="s">
        <v>258</v>
      </c>
      <c r="D72" s="12" t="s">
        <v>15</v>
      </c>
      <c r="E72" s="12" t="s">
        <v>249</v>
      </c>
      <c r="F72" s="12" t="s">
        <v>259</v>
      </c>
      <c r="G72" s="15">
        <v>3250933</v>
      </c>
      <c r="H72" s="15">
        <v>357603</v>
      </c>
      <c r="I72" s="4"/>
      <c r="M72" s="5"/>
    </row>
    <row r="73" spans="1:13" ht="17.25" customHeight="1" x14ac:dyDescent="0.25">
      <c r="A73" s="11">
        <v>45311</v>
      </c>
      <c r="B73" s="12" t="s">
        <v>260</v>
      </c>
      <c r="C73" s="13" t="s">
        <v>261</v>
      </c>
      <c r="D73" s="12" t="s">
        <v>15</v>
      </c>
      <c r="E73" s="12" t="s">
        <v>249</v>
      </c>
      <c r="F73" s="12" t="s">
        <v>262</v>
      </c>
      <c r="G73" s="15">
        <v>14947280</v>
      </c>
      <c r="H73" s="15">
        <v>1644201</v>
      </c>
      <c r="I73" s="4"/>
      <c r="M73" s="5"/>
    </row>
    <row r="74" spans="1:13" ht="17.25" customHeight="1" x14ac:dyDescent="0.25">
      <c r="A74" s="11">
        <v>45313</v>
      </c>
      <c r="B74" s="12" t="s">
        <v>263</v>
      </c>
      <c r="C74" s="13" t="s">
        <v>264</v>
      </c>
      <c r="D74" s="12" t="s">
        <v>20</v>
      </c>
      <c r="E74" s="12" t="s">
        <v>25</v>
      </c>
      <c r="F74" s="12" t="s">
        <v>17</v>
      </c>
      <c r="G74" s="15">
        <v>20650000</v>
      </c>
      <c r="H74" s="15">
        <v>2271500</v>
      </c>
      <c r="I74" s="4"/>
      <c r="M74" s="5"/>
    </row>
    <row r="75" spans="1:13" ht="17.25" customHeight="1" x14ac:dyDescent="0.25">
      <c r="A75" s="11">
        <v>45313</v>
      </c>
      <c r="B75" s="12" t="s">
        <v>265</v>
      </c>
      <c r="C75" s="13" t="s">
        <v>266</v>
      </c>
      <c r="D75" s="12" t="s">
        <v>20</v>
      </c>
      <c r="E75" s="12" t="s">
        <v>25</v>
      </c>
      <c r="F75" s="12" t="s">
        <v>124</v>
      </c>
      <c r="G75" s="15">
        <v>19272144</v>
      </c>
      <c r="H75" s="15">
        <v>2119935</v>
      </c>
      <c r="I75" s="4"/>
      <c r="M75" s="5"/>
    </row>
    <row r="76" spans="1:13" ht="17.25" customHeight="1" x14ac:dyDescent="0.25">
      <c r="A76" s="11">
        <v>45314</v>
      </c>
      <c r="B76" s="12" t="s">
        <v>267</v>
      </c>
      <c r="C76" s="13" t="s">
        <v>268</v>
      </c>
      <c r="D76" s="12" t="s">
        <v>15</v>
      </c>
      <c r="E76" s="12" t="s">
        <v>269</v>
      </c>
      <c r="F76" s="12" t="s">
        <v>43</v>
      </c>
      <c r="G76" s="15">
        <v>20000000</v>
      </c>
      <c r="H76" s="15">
        <v>2200000</v>
      </c>
      <c r="I76" s="4"/>
      <c r="M76" s="5"/>
    </row>
    <row r="77" spans="1:13" ht="17.25" customHeight="1" x14ac:dyDescent="0.25">
      <c r="A77" s="11">
        <v>45314</v>
      </c>
      <c r="B77" s="12" t="s">
        <v>270</v>
      </c>
      <c r="C77" s="13" t="s">
        <v>271</v>
      </c>
      <c r="D77" s="12" t="s">
        <v>15</v>
      </c>
      <c r="E77" s="12" t="s">
        <v>272</v>
      </c>
      <c r="F77" s="12" t="s">
        <v>147</v>
      </c>
      <c r="G77" s="15">
        <v>34913200</v>
      </c>
      <c r="H77" s="15">
        <v>3840452</v>
      </c>
      <c r="I77" s="4"/>
      <c r="M77" s="5"/>
    </row>
    <row r="78" spans="1:13" ht="17.25" customHeight="1" x14ac:dyDescent="0.25">
      <c r="A78" s="11">
        <v>45314</v>
      </c>
      <c r="B78" s="12" t="s">
        <v>273</v>
      </c>
      <c r="C78" s="13" t="s">
        <v>274</v>
      </c>
      <c r="D78" s="12" t="s">
        <v>275</v>
      </c>
      <c r="E78" s="12" t="s">
        <v>276</v>
      </c>
      <c r="F78" s="12" t="s">
        <v>277</v>
      </c>
      <c r="G78" s="15">
        <v>1539190</v>
      </c>
      <c r="H78" s="15">
        <v>169310</v>
      </c>
      <c r="I78" s="4"/>
      <c r="M78" s="5"/>
    </row>
    <row r="79" spans="1:13" ht="17.25" customHeight="1" x14ac:dyDescent="0.25">
      <c r="A79" s="11">
        <v>45314</v>
      </c>
      <c r="B79" s="12" t="s">
        <v>278</v>
      </c>
      <c r="C79" s="13" t="s">
        <v>279</v>
      </c>
      <c r="D79" s="12" t="s">
        <v>20</v>
      </c>
      <c r="E79" s="12" t="s">
        <v>21</v>
      </c>
      <c r="F79" s="12" t="s">
        <v>222</v>
      </c>
      <c r="G79" s="15">
        <v>47772070</v>
      </c>
      <c r="H79" s="15">
        <v>5254928</v>
      </c>
      <c r="I79" s="4"/>
      <c r="M79" s="5"/>
    </row>
    <row r="80" spans="1:13" ht="17.25" customHeight="1" x14ac:dyDescent="0.25">
      <c r="A80" s="11">
        <v>45316</v>
      </c>
      <c r="B80" s="12" t="s">
        <v>280</v>
      </c>
      <c r="C80" s="13" t="s">
        <v>281</v>
      </c>
      <c r="D80" s="12" t="s">
        <v>46</v>
      </c>
      <c r="E80" s="12" t="s">
        <v>282</v>
      </c>
      <c r="F80" s="12" t="s">
        <v>175</v>
      </c>
      <c r="G80" s="15">
        <v>150000</v>
      </c>
      <c r="H80" s="15">
        <v>16500</v>
      </c>
      <c r="I80" s="4"/>
      <c r="M80" s="5"/>
    </row>
    <row r="81" spans="1:13" ht="17.25" customHeight="1" x14ac:dyDescent="0.25">
      <c r="A81" s="11">
        <v>45316</v>
      </c>
      <c r="B81" s="12" t="s">
        <v>283</v>
      </c>
      <c r="C81" s="13" t="s">
        <v>284</v>
      </c>
      <c r="D81" s="12" t="s">
        <v>46</v>
      </c>
      <c r="E81" s="12" t="s">
        <v>282</v>
      </c>
      <c r="F81" s="12" t="s">
        <v>147</v>
      </c>
      <c r="G81" s="15">
        <v>150000</v>
      </c>
      <c r="H81" s="15">
        <v>16500</v>
      </c>
      <c r="I81" s="4"/>
      <c r="M81" s="5"/>
    </row>
    <row r="82" spans="1:13" ht="17.25" customHeight="1" x14ac:dyDescent="0.25">
      <c r="A82" s="11">
        <v>45316</v>
      </c>
      <c r="B82" s="12" t="s">
        <v>285</v>
      </c>
      <c r="C82" s="13" t="s">
        <v>286</v>
      </c>
      <c r="D82" s="12" t="s">
        <v>46</v>
      </c>
      <c r="E82" s="12" t="s">
        <v>282</v>
      </c>
      <c r="F82" s="12" t="s">
        <v>22</v>
      </c>
      <c r="G82" s="15">
        <v>150000</v>
      </c>
      <c r="H82" s="15">
        <v>16500</v>
      </c>
      <c r="I82" s="4"/>
      <c r="M82" s="5"/>
    </row>
    <row r="83" spans="1:13" ht="17.25" customHeight="1" x14ac:dyDescent="0.25">
      <c r="A83" s="11">
        <v>45316</v>
      </c>
      <c r="B83" s="12" t="s">
        <v>287</v>
      </c>
      <c r="C83" s="13" t="s">
        <v>288</v>
      </c>
      <c r="D83" s="12" t="s">
        <v>46</v>
      </c>
      <c r="E83" s="12" t="s">
        <v>282</v>
      </c>
      <c r="F83" s="12" t="s">
        <v>43</v>
      </c>
      <c r="G83" s="15">
        <v>1000000</v>
      </c>
      <c r="H83" s="15">
        <v>110000</v>
      </c>
      <c r="I83" s="4"/>
      <c r="M83" s="5"/>
    </row>
    <row r="84" spans="1:13" ht="17.25" customHeight="1" x14ac:dyDescent="0.25">
      <c r="A84" s="11">
        <v>45316</v>
      </c>
      <c r="B84" s="12" t="s">
        <v>289</v>
      </c>
      <c r="C84" s="13" t="s">
        <v>290</v>
      </c>
      <c r="D84" s="12" t="s">
        <v>46</v>
      </c>
      <c r="E84" s="12" t="s">
        <v>64</v>
      </c>
      <c r="F84" s="12" t="s">
        <v>291</v>
      </c>
      <c r="G84" s="15">
        <v>11233200</v>
      </c>
      <c r="H84" s="15">
        <v>1235652</v>
      </c>
      <c r="I84" s="4"/>
      <c r="M84" s="5"/>
    </row>
    <row r="85" spans="1:13" ht="17.25" customHeight="1" x14ac:dyDescent="0.25">
      <c r="A85" s="11">
        <v>45316</v>
      </c>
      <c r="B85" s="12" t="s">
        <v>292</v>
      </c>
      <c r="C85" s="13" t="s">
        <v>293</v>
      </c>
      <c r="D85" s="12" t="s">
        <v>46</v>
      </c>
      <c r="E85" s="12" t="s">
        <v>64</v>
      </c>
      <c r="F85" s="12" t="s">
        <v>294</v>
      </c>
      <c r="G85" s="15">
        <v>2665030</v>
      </c>
      <c r="H85" s="15">
        <v>293153</v>
      </c>
      <c r="I85" s="4"/>
      <c r="M85" s="5"/>
    </row>
    <row r="86" spans="1:13" ht="17.25" customHeight="1" x14ac:dyDescent="0.25">
      <c r="A86" s="11">
        <v>45316</v>
      </c>
      <c r="B86" s="12" t="s">
        <v>295</v>
      </c>
      <c r="C86" s="13" t="s">
        <v>296</v>
      </c>
      <c r="D86" s="12" t="s">
        <v>46</v>
      </c>
      <c r="E86" s="12" t="s">
        <v>64</v>
      </c>
      <c r="F86" s="12" t="s">
        <v>43</v>
      </c>
      <c r="G86" s="15">
        <v>28000000</v>
      </c>
      <c r="H86" s="15">
        <v>3080000</v>
      </c>
      <c r="I86" s="4"/>
      <c r="M86" s="5"/>
    </row>
    <row r="87" spans="1:13" ht="17.25" customHeight="1" x14ac:dyDescent="0.25">
      <c r="A87" s="11">
        <v>45316</v>
      </c>
      <c r="B87" s="12" t="s">
        <v>297</v>
      </c>
      <c r="C87" s="13" t="s">
        <v>298</v>
      </c>
      <c r="D87" s="12" t="s">
        <v>15</v>
      </c>
      <c r="E87" s="12" t="s">
        <v>146</v>
      </c>
      <c r="F87" s="12" t="s">
        <v>17</v>
      </c>
      <c r="G87" s="15">
        <v>391500</v>
      </c>
      <c r="H87" s="15">
        <v>43065</v>
      </c>
      <c r="I87" s="4"/>
      <c r="M87" s="5"/>
    </row>
    <row r="88" spans="1:13" ht="17.25" customHeight="1" x14ac:dyDescent="0.25">
      <c r="A88" s="11">
        <v>45316</v>
      </c>
      <c r="B88" s="12" t="s">
        <v>299</v>
      </c>
      <c r="C88" s="13" t="s">
        <v>300</v>
      </c>
      <c r="D88" s="12" t="s">
        <v>75</v>
      </c>
      <c r="E88" s="12" t="s">
        <v>301</v>
      </c>
      <c r="F88" s="12" t="s">
        <v>302</v>
      </c>
      <c r="G88" s="15">
        <v>4682900</v>
      </c>
      <c r="H88" s="15">
        <v>515119</v>
      </c>
      <c r="I88" s="4"/>
      <c r="M88" s="5"/>
    </row>
    <row r="89" spans="1:13" ht="17.25" customHeight="1" x14ac:dyDescent="0.25">
      <c r="A89" s="11">
        <v>45316</v>
      </c>
      <c r="B89" s="12" t="s">
        <v>303</v>
      </c>
      <c r="C89" s="13" t="s">
        <v>304</v>
      </c>
      <c r="D89" s="12" t="s">
        <v>75</v>
      </c>
      <c r="E89" s="12" t="s">
        <v>301</v>
      </c>
      <c r="F89" s="12" t="s">
        <v>305</v>
      </c>
      <c r="G89" s="15">
        <v>4682900</v>
      </c>
      <c r="H89" s="15">
        <v>515119</v>
      </c>
      <c r="I89" s="4"/>
      <c r="M89" s="5"/>
    </row>
    <row r="90" spans="1:13" ht="17.25" customHeight="1" x14ac:dyDescent="0.25">
      <c r="A90" s="11">
        <v>45316</v>
      </c>
      <c r="B90" s="12" t="s">
        <v>306</v>
      </c>
      <c r="C90" s="13" t="s">
        <v>307</v>
      </c>
      <c r="D90" s="12" t="s">
        <v>75</v>
      </c>
      <c r="E90" s="12" t="s">
        <v>301</v>
      </c>
      <c r="F90" s="12" t="s">
        <v>308</v>
      </c>
      <c r="G90" s="15">
        <v>4682900</v>
      </c>
      <c r="H90" s="15">
        <v>515119</v>
      </c>
      <c r="I90" s="4"/>
      <c r="M90" s="5"/>
    </row>
    <row r="91" spans="1:13" ht="17.25" customHeight="1" x14ac:dyDescent="0.25">
      <c r="A91" s="11">
        <v>45316</v>
      </c>
      <c r="B91" s="12" t="s">
        <v>309</v>
      </c>
      <c r="C91" s="13" t="s">
        <v>310</v>
      </c>
      <c r="D91" s="12" t="s">
        <v>75</v>
      </c>
      <c r="E91" s="12" t="s">
        <v>80</v>
      </c>
      <c r="F91" s="12" t="s">
        <v>311</v>
      </c>
      <c r="G91" s="15">
        <v>12839167</v>
      </c>
      <c r="H91" s="15">
        <v>1412308</v>
      </c>
      <c r="I91" s="4"/>
      <c r="M91" s="5"/>
    </row>
    <row r="92" spans="1:13" ht="17.25" customHeight="1" x14ac:dyDescent="0.25">
      <c r="A92" s="11">
        <v>45316</v>
      </c>
      <c r="B92" s="12" t="s">
        <v>312</v>
      </c>
      <c r="C92" s="13" t="s">
        <v>313</v>
      </c>
      <c r="D92" s="12" t="s">
        <v>75</v>
      </c>
      <c r="E92" s="12" t="s">
        <v>80</v>
      </c>
      <c r="F92" s="12" t="s">
        <v>314</v>
      </c>
      <c r="G92" s="15">
        <v>13680000</v>
      </c>
      <c r="H92" s="15">
        <v>1504800</v>
      </c>
      <c r="I92" s="4"/>
      <c r="M92" s="5"/>
    </row>
    <row r="93" spans="1:13" ht="17.25" customHeight="1" x14ac:dyDescent="0.25">
      <c r="A93" s="11">
        <v>45316</v>
      </c>
      <c r="B93" s="12" t="s">
        <v>315</v>
      </c>
      <c r="C93" s="13" t="s">
        <v>316</v>
      </c>
      <c r="D93" s="12" t="s">
        <v>75</v>
      </c>
      <c r="E93" s="12" t="s">
        <v>317</v>
      </c>
      <c r="F93" s="12" t="s">
        <v>318</v>
      </c>
      <c r="G93" s="15">
        <v>1004150</v>
      </c>
      <c r="H93" s="15">
        <v>110456</v>
      </c>
      <c r="I93" s="4"/>
      <c r="M93" s="5"/>
    </row>
    <row r="94" spans="1:13" ht="17.25" customHeight="1" x14ac:dyDescent="0.25">
      <c r="A94" s="11">
        <v>45316</v>
      </c>
      <c r="B94" s="12" t="s">
        <v>319</v>
      </c>
      <c r="C94" s="13" t="s">
        <v>320</v>
      </c>
      <c r="D94" s="12" t="s">
        <v>75</v>
      </c>
      <c r="E94" s="12" t="s">
        <v>317</v>
      </c>
      <c r="F94" s="12" t="s">
        <v>321</v>
      </c>
      <c r="G94" s="15">
        <v>1004150</v>
      </c>
      <c r="H94" s="15">
        <v>110457</v>
      </c>
      <c r="I94" s="4"/>
      <c r="M94" s="5"/>
    </row>
    <row r="95" spans="1:13" ht="17.25" customHeight="1" x14ac:dyDescent="0.25">
      <c r="A95" s="11">
        <v>45317</v>
      </c>
      <c r="B95" s="12" t="s">
        <v>322</v>
      </c>
      <c r="C95" s="13" t="s">
        <v>323</v>
      </c>
      <c r="D95" s="12" t="s">
        <v>185</v>
      </c>
      <c r="E95" s="12" t="s">
        <v>324</v>
      </c>
      <c r="F95" s="12" t="s">
        <v>325</v>
      </c>
      <c r="G95" s="15">
        <v>14405000</v>
      </c>
      <c r="H95" s="15">
        <v>1584550</v>
      </c>
      <c r="I95" s="4"/>
      <c r="M95" s="5"/>
    </row>
    <row r="96" spans="1:13" ht="17.25" customHeight="1" x14ac:dyDescent="0.25">
      <c r="A96" s="11">
        <v>45317</v>
      </c>
      <c r="B96" s="12" t="s">
        <v>326</v>
      </c>
      <c r="C96" s="13" t="s">
        <v>327</v>
      </c>
      <c r="D96" s="12" t="s">
        <v>328</v>
      </c>
      <c r="E96" s="12" t="s">
        <v>246</v>
      </c>
      <c r="F96" s="12" t="s">
        <v>43</v>
      </c>
      <c r="G96" s="15">
        <v>2660000</v>
      </c>
      <c r="H96" s="15">
        <v>292600</v>
      </c>
      <c r="I96" s="4"/>
      <c r="M96" s="5"/>
    </row>
    <row r="97" spans="1:13" ht="17.25" customHeight="1" x14ac:dyDescent="0.25">
      <c r="A97" s="17"/>
      <c r="B97" s="18"/>
      <c r="C97" s="19"/>
      <c r="D97" s="18"/>
      <c r="E97" s="18"/>
      <c r="F97" s="18"/>
      <c r="G97" s="20"/>
      <c r="H97" s="20"/>
      <c r="I97" s="4"/>
      <c r="M97" s="5"/>
    </row>
    <row r="98" spans="1:13" ht="17.25" customHeight="1" x14ac:dyDescent="0.25">
      <c r="A98" s="29">
        <v>45317</v>
      </c>
      <c r="B98" s="30" t="s">
        <v>329</v>
      </c>
      <c r="C98" s="31" t="s">
        <v>330</v>
      </c>
      <c r="D98" s="30" t="s">
        <v>331</v>
      </c>
      <c r="E98" s="30" t="s">
        <v>332</v>
      </c>
      <c r="F98" s="30" t="s">
        <v>333</v>
      </c>
      <c r="G98" s="32">
        <v>3000000</v>
      </c>
      <c r="H98" s="32">
        <v>330000</v>
      </c>
      <c r="I98" s="33">
        <v>45315</v>
      </c>
      <c r="J98" s="34"/>
      <c r="M98" s="5"/>
    </row>
    <row r="99" spans="1:13" ht="17.25" customHeight="1" x14ac:dyDescent="0.25">
      <c r="A99" s="29">
        <v>45317</v>
      </c>
      <c r="B99" s="30" t="s">
        <v>334</v>
      </c>
      <c r="C99" s="31" t="s">
        <v>335</v>
      </c>
      <c r="D99" s="30" t="s">
        <v>331</v>
      </c>
      <c r="E99" s="30" t="s">
        <v>332</v>
      </c>
      <c r="F99" s="30" t="s">
        <v>72</v>
      </c>
      <c r="G99" s="32">
        <v>206000000</v>
      </c>
      <c r="H99" s="32">
        <v>22660000</v>
      </c>
      <c r="I99" s="33"/>
      <c r="J99" s="34"/>
      <c r="M99" s="5"/>
    </row>
    <row r="100" spans="1:13" ht="17.25" customHeight="1" x14ac:dyDescent="0.25">
      <c r="A100" s="11"/>
      <c r="B100" s="12"/>
      <c r="C100" s="13"/>
      <c r="D100" s="12"/>
      <c r="E100" s="12"/>
      <c r="F100" s="12"/>
      <c r="G100" s="15"/>
      <c r="H100" s="15"/>
      <c r="I100" s="4"/>
      <c r="M100" s="5"/>
    </row>
    <row r="101" spans="1:13" ht="17.25" customHeight="1" x14ac:dyDescent="0.25">
      <c r="A101" s="11">
        <v>45318</v>
      </c>
      <c r="B101" s="12" t="s">
        <v>336</v>
      </c>
      <c r="C101" s="13" t="s">
        <v>337</v>
      </c>
      <c r="D101" s="12" t="s">
        <v>33</v>
      </c>
      <c r="E101" s="12" t="s">
        <v>71</v>
      </c>
      <c r="F101" s="12" t="s">
        <v>72</v>
      </c>
      <c r="G101" s="15">
        <v>24122000</v>
      </c>
      <c r="H101" s="15">
        <v>2653420</v>
      </c>
      <c r="I101" s="4"/>
      <c r="K101" s="34"/>
      <c r="L101" s="34"/>
      <c r="M101" s="35"/>
    </row>
    <row r="102" spans="1:13" ht="17.25" customHeight="1" x14ac:dyDescent="0.25">
      <c r="A102" s="11">
        <v>45322</v>
      </c>
      <c r="B102" s="12" t="s">
        <v>338</v>
      </c>
      <c r="C102" s="13" t="s">
        <v>339</v>
      </c>
      <c r="D102" s="12" t="s">
        <v>340</v>
      </c>
      <c r="E102" s="12" t="s">
        <v>199</v>
      </c>
      <c r="F102" s="12" t="s">
        <v>341</v>
      </c>
      <c r="G102" s="15">
        <v>214330885</v>
      </c>
      <c r="H102" s="15">
        <v>23576397</v>
      </c>
      <c r="I102" s="4"/>
      <c r="K102" s="34"/>
      <c r="L102" s="34"/>
      <c r="M102" s="35"/>
    </row>
    <row r="103" spans="1:13" ht="17.25" customHeight="1" x14ac:dyDescent="0.25">
      <c r="A103" s="11">
        <v>45322</v>
      </c>
      <c r="B103" s="12" t="s">
        <v>342</v>
      </c>
      <c r="C103" s="13" t="s">
        <v>343</v>
      </c>
      <c r="D103" s="12" t="s">
        <v>340</v>
      </c>
      <c r="E103" s="12" t="s">
        <v>344</v>
      </c>
      <c r="F103" s="12" t="s">
        <v>341</v>
      </c>
      <c r="G103" s="15">
        <v>1174800</v>
      </c>
      <c r="H103" s="15">
        <v>129228</v>
      </c>
      <c r="I103" s="4"/>
      <c r="M103" s="5"/>
    </row>
    <row r="104" spans="1:13" ht="17.25" customHeight="1" x14ac:dyDescent="0.25">
      <c r="A104" s="11">
        <v>45322</v>
      </c>
      <c r="B104" s="12" t="s">
        <v>345</v>
      </c>
      <c r="C104" s="13" t="s">
        <v>346</v>
      </c>
      <c r="D104" s="12" t="s">
        <v>340</v>
      </c>
      <c r="E104" s="12" t="s">
        <v>347</v>
      </c>
      <c r="F104" s="12" t="s">
        <v>341</v>
      </c>
      <c r="G104" s="15">
        <v>5670548</v>
      </c>
      <c r="H104" s="15">
        <v>623760</v>
      </c>
      <c r="I104" s="4"/>
      <c r="M104" s="5"/>
    </row>
    <row r="105" spans="1:13" ht="17.25" customHeight="1" x14ac:dyDescent="0.25">
      <c r="A105" s="11">
        <v>45322</v>
      </c>
      <c r="B105" s="12" t="s">
        <v>348</v>
      </c>
      <c r="C105" s="13" t="s">
        <v>349</v>
      </c>
      <c r="D105" s="12" t="s">
        <v>340</v>
      </c>
      <c r="E105" s="12" t="s">
        <v>350</v>
      </c>
      <c r="F105" s="12" t="s">
        <v>341</v>
      </c>
      <c r="G105" s="15">
        <v>48373028</v>
      </c>
      <c r="H105" s="15">
        <v>5321033</v>
      </c>
      <c r="I105" s="4"/>
      <c r="M105" s="5"/>
    </row>
    <row r="106" spans="1:13" ht="17.25" customHeight="1" x14ac:dyDescent="0.25">
      <c r="A106" s="11">
        <v>45322</v>
      </c>
      <c r="B106" s="12" t="s">
        <v>351</v>
      </c>
      <c r="C106" s="13" t="s">
        <v>352</v>
      </c>
      <c r="D106" s="12" t="s">
        <v>340</v>
      </c>
      <c r="E106" s="12" t="s">
        <v>353</v>
      </c>
      <c r="F106" s="12" t="s">
        <v>341</v>
      </c>
      <c r="G106" s="15">
        <v>9190005</v>
      </c>
      <c r="H106" s="15">
        <v>1010900</v>
      </c>
      <c r="I106" s="4"/>
      <c r="M106" s="5"/>
    </row>
    <row r="107" spans="1:13" ht="17.25" customHeight="1" x14ac:dyDescent="0.25">
      <c r="A107" s="11">
        <v>45322</v>
      </c>
      <c r="B107" s="12" t="s">
        <v>354</v>
      </c>
      <c r="C107" s="13" t="s">
        <v>355</v>
      </c>
      <c r="D107" s="12" t="s">
        <v>340</v>
      </c>
      <c r="E107" s="12" t="s">
        <v>356</v>
      </c>
      <c r="F107" s="12" t="s">
        <v>341</v>
      </c>
      <c r="G107" s="15">
        <v>9504827</v>
      </c>
      <c r="H107" s="15">
        <v>1045530</v>
      </c>
      <c r="I107" s="4"/>
      <c r="M107" s="5"/>
    </row>
    <row r="108" spans="1:13" ht="17.25" customHeight="1" x14ac:dyDescent="0.25">
      <c r="A108" s="11"/>
      <c r="B108" s="12"/>
      <c r="C108" s="13"/>
      <c r="D108" s="12"/>
      <c r="E108" s="12"/>
      <c r="F108" s="12"/>
      <c r="G108" s="15"/>
      <c r="H108" s="15"/>
      <c r="I108" s="4"/>
      <c r="M108" s="5"/>
    </row>
    <row r="109" spans="1:13" ht="17.25" customHeight="1" x14ac:dyDescent="0.25">
      <c r="A109" s="11">
        <v>45323</v>
      </c>
      <c r="B109" s="12" t="s">
        <v>357</v>
      </c>
      <c r="C109" s="13" t="s">
        <v>358</v>
      </c>
      <c r="D109" s="14" t="s">
        <v>359</v>
      </c>
      <c r="E109" s="14" t="s">
        <v>159</v>
      </c>
      <c r="F109" s="14" t="s">
        <v>341</v>
      </c>
      <c r="G109" s="16">
        <v>1968250</v>
      </c>
      <c r="H109" s="39">
        <v>216506.5</v>
      </c>
      <c r="I109" s="4"/>
      <c r="M109" s="5"/>
    </row>
    <row r="110" spans="1:13" ht="17.25" customHeight="1" x14ac:dyDescent="0.25">
      <c r="A110" s="11">
        <v>45323</v>
      </c>
      <c r="B110" s="12" t="s">
        <v>360</v>
      </c>
      <c r="C110" s="13" t="s">
        <v>361</v>
      </c>
      <c r="D110" s="12" t="s">
        <v>359</v>
      </c>
      <c r="E110" s="12" t="s">
        <v>165</v>
      </c>
      <c r="F110" s="12" t="s">
        <v>341</v>
      </c>
      <c r="G110" s="15">
        <v>571000</v>
      </c>
      <c r="H110" s="15">
        <v>62810</v>
      </c>
      <c r="I110" s="4"/>
      <c r="M110" s="5"/>
    </row>
    <row r="111" spans="1:13" ht="17.25" customHeight="1" x14ac:dyDescent="0.25">
      <c r="A111" s="11">
        <v>45323</v>
      </c>
      <c r="B111" s="12" t="s">
        <v>362</v>
      </c>
      <c r="C111" s="13" t="s">
        <v>363</v>
      </c>
      <c r="D111" s="12" t="s">
        <v>359</v>
      </c>
      <c r="E111" s="12" t="s">
        <v>364</v>
      </c>
      <c r="F111" s="12" t="s">
        <v>341</v>
      </c>
      <c r="G111" s="15">
        <v>7821400</v>
      </c>
      <c r="H111" s="15">
        <v>860354</v>
      </c>
      <c r="I111" s="4"/>
      <c r="M111" s="5"/>
    </row>
    <row r="112" spans="1:13" ht="17.25" customHeight="1" x14ac:dyDescent="0.25">
      <c r="A112" s="11">
        <v>45323</v>
      </c>
      <c r="B112" s="12" t="s">
        <v>365</v>
      </c>
      <c r="C112" s="13" t="s">
        <v>366</v>
      </c>
      <c r="D112" s="12" t="s">
        <v>359</v>
      </c>
      <c r="E112" s="12" t="s">
        <v>367</v>
      </c>
      <c r="F112" s="12" t="s">
        <v>368</v>
      </c>
      <c r="G112" s="15">
        <v>244160</v>
      </c>
      <c r="H112" s="15">
        <v>26857</v>
      </c>
      <c r="I112" s="4"/>
      <c r="M112" s="5"/>
    </row>
    <row r="113" spans="1:13" ht="17.25" customHeight="1" x14ac:dyDescent="0.25">
      <c r="A113" s="11">
        <v>45323</v>
      </c>
      <c r="B113" s="12" t="s">
        <v>369</v>
      </c>
      <c r="C113" s="13" t="s">
        <v>370</v>
      </c>
      <c r="D113" s="12" t="s">
        <v>371</v>
      </c>
      <c r="E113" s="12" t="s">
        <v>76</v>
      </c>
      <c r="F113" s="12" t="s">
        <v>341</v>
      </c>
      <c r="G113" s="15">
        <v>3802580</v>
      </c>
      <c r="H113" s="15">
        <v>418283</v>
      </c>
      <c r="I113" s="4"/>
      <c r="M113" s="5"/>
    </row>
    <row r="114" spans="1:13" ht="17.25" customHeight="1" x14ac:dyDescent="0.25">
      <c r="A114" s="11">
        <v>45323</v>
      </c>
      <c r="B114" s="12" t="s">
        <v>372</v>
      </c>
      <c r="C114" s="13" t="s">
        <v>373</v>
      </c>
      <c r="D114" s="12" t="s">
        <v>15</v>
      </c>
      <c r="E114" s="12" t="s">
        <v>16</v>
      </c>
      <c r="F114" s="12" t="s">
        <v>124</v>
      </c>
      <c r="G114" s="15">
        <v>544318714</v>
      </c>
      <c r="H114" s="15">
        <v>59875059</v>
      </c>
      <c r="I114" s="4"/>
      <c r="M114" s="5"/>
    </row>
    <row r="115" spans="1:13" ht="17.25" customHeight="1" x14ac:dyDescent="0.25">
      <c r="A115" s="11">
        <v>45323</v>
      </c>
      <c r="B115" s="12" t="s">
        <v>374</v>
      </c>
      <c r="C115" s="13" t="s">
        <v>375</v>
      </c>
      <c r="D115" s="12" t="s">
        <v>15</v>
      </c>
      <c r="E115" s="12" t="s">
        <v>376</v>
      </c>
      <c r="F115" s="12" t="s">
        <v>377</v>
      </c>
      <c r="G115" s="15">
        <v>1800000</v>
      </c>
      <c r="H115" s="15">
        <v>198000</v>
      </c>
      <c r="I115" s="4"/>
      <c r="M115" s="5"/>
    </row>
    <row r="116" spans="1:13" ht="17.25" customHeight="1" x14ac:dyDescent="0.25">
      <c r="A116" s="11">
        <v>45323</v>
      </c>
      <c r="B116" s="12" t="s">
        <v>378</v>
      </c>
      <c r="C116" s="13" t="s">
        <v>379</v>
      </c>
      <c r="D116" s="12" t="s">
        <v>15</v>
      </c>
      <c r="E116" s="12" t="s">
        <v>376</v>
      </c>
      <c r="F116" s="12" t="s">
        <v>380</v>
      </c>
      <c r="G116" s="15">
        <v>27000000</v>
      </c>
      <c r="H116" s="15">
        <v>2970000</v>
      </c>
      <c r="I116" s="4"/>
      <c r="M116" s="5"/>
    </row>
    <row r="117" spans="1:13" ht="17.25" customHeight="1" x14ac:dyDescent="0.25">
      <c r="A117" s="11">
        <v>45323</v>
      </c>
      <c r="B117" s="12" t="s">
        <v>381</v>
      </c>
      <c r="C117" s="13" t="s">
        <v>382</v>
      </c>
      <c r="D117" s="12" t="s">
        <v>15</v>
      </c>
      <c r="E117" s="12" t="s">
        <v>383</v>
      </c>
      <c r="F117" s="12" t="s">
        <v>124</v>
      </c>
      <c r="G117" s="15">
        <v>58520600</v>
      </c>
      <c r="H117" s="15">
        <v>6437266</v>
      </c>
      <c r="I117" s="4"/>
      <c r="M117" s="5"/>
    </row>
    <row r="118" spans="1:13" ht="17.25" customHeight="1" x14ac:dyDescent="0.25">
      <c r="A118" s="11">
        <v>45323</v>
      </c>
      <c r="B118" s="12" t="s">
        <v>384</v>
      </c>
      <c r="C118" s="13" t="s">
        <v>385</v>
      </c>
      <c r="D118" s="12" t="s">
        <v>133</v>
      </c>
      <c r="E118" s="12" t="s">
        <v>134</v>
      </c>
      <c r="F118" s="12" t="s">
        <v>341</v>
      </c>
      <c r="G118" s="15">
        <v>39575600</v>
      </c>
      <c r="H118" s="15">
        <v>4353316</v>
      </c>
      <c r="I118" s="4"/>
      <c r="M118" s="5"/>
    </row>
    <row r="119" spans="1:13" ht="17.25" customHeight="1" x14ac:dyDescent="0.25">
      <c r="A119" s="11">
        <v>45324</v>
      </c>
      <c r="B119" s="12" t="s">
        <v>386</v>
      </c>
      <c r="C119" s="13" t="s">
        <v>387</v>
      </c>
      <c r="D119" s="12" t="s">
        <v>198</v>
      </c>
      <c r="E119" s="12" t="s">
        <v>199</v>
      </c>
      <c r="F119" s="12" t="s">
        <v>200</v>
      </c>
      <c r="G119" s="15">
        <v>331645500</v>
      </c>
      <c r="H119" s="15">
        <v>36481005</v>
      </c>
      <c r="I119" s="4"/>
      <c r="M119" s="5"/>
    </row>
    <row r="120" spans="1:13" ht="17.25" customHeight="1" x14ac:dyDescent="0.25">
      <c r="A120" s="11">
        <v>45324</v>
      </c>
      <c r="B120" s="12" t="s">
        <v>388</v>
      </c>
      <c r="C120" s="13" t="s">
        <v>389</v>
      </c>
      <c r="D120" s="12" t="s">
        <v>390</v>
      </c>
      <c r="E120" s="12" t="s">
        <v>391</v>
      </c>
      <c r="F120" s="12" t="s">
        <v>392</v>
      </c>
      <c r="G120" s="15">
        <v>840014</v>
      </c>
      <c r="H120" s="15">
        <v>92401</v>
      </c>
      <c r="I120" s="4"/>
      <c r="M120" s="5"/>
    </row>
    <row r="121" spans="1:13" ht="17.25" customHeight="1" x14ac:dyDescent="0.25">
      <c r="A121" s="11">
        <v>45324</v>
      </c>
      <c r="B121" s="12" t="s">
        <v>393</v>
      </c>
      <c r="C121" s="13" t="s">
        <v>394</v>
      </c>
      <c r="D121" s="12" t="s">
        <v>390</v>
      </c>
      <c r="E121" s="12" t="s">
        <v>395</v>
      </c>
      <c r="F121" s="12" t="s">
        <v>175</v>
      </c>
      <c r="G121" s="15">
        <v>39918751</v>
      </c>
      <c r="H121" s="15">
        <v>4391062</v>
      </c>
      <c r="I121" s="4"/>
      <c r="M121" s="5"/>
    </row>
    <row r="122" spans="1:13" ht="17.25" customHeight="1" x14ac:dyDescent="0.25">
      <c r="A122" s="11">
        <v>45324</v>
      </c>
      <c r="B122" s="12" t="s">
        <v>396</v>
      </c>
      <c r="C122" s="13" t="s">
        <v>397</v>
      </c>
      <c r="D122" s="12" t="s">
        <v>390</v>
      </c>
      <c r="E122" s="12" t="s">
        <v>398</v>
      </c>
      <c r="F122" s="12" t="s">
        <v>147</v>
      </c>
      <c r="G122" s="15">
        <v>92064580</v>
      </c>
      <c r="H122" s="15">
        <v>10127103</v>
      </c>
      <c r="I122" s="4"/>
      <c r="M122" s="5"/>
    </row>
    <row r="123" spans="1:13" ht="17.25" customHeight="1" x14ac:dyDescent="0.25">
      <c r="A123" s="11">
        <v>45324</v>
      </c>
      <c r="B123" s="12" t="s">
        <v>399</v>
      </c>
      <c r="C123" s="13" t="s">
        <v>400</v>
      </c>
      <c r="D123" s="12" t="s">
        <v>390</v>
      </c>
      <c r="E123" s="12" t="s">
        <v>401</v>
      </c>
      <c r="F123" s="12" t="s">
        <v>22</v>
      </c>
      <c r="G123" s="15">
        <v>96453097</v>
      </c>
      <c r="H123" s="15">
        <v>10609840</v>
      </c>
      <c r="I123" s="4"/>
      <c r="M123" s="5"/>
    </row>
    <row r="124" spans="1:13" ht="17.25" customHeight="1" x14ac:dyDescent="0.25">
      <c r="A124" s="11">
        <v>45324</v>
      </c>
      <c r="B124" s="12" t="s">
        <v>402</v>
      </c>
      <c r="C124" s="13" t="s">
        <v>403</v>
      </c>
      <c r="D124" s="12" t="s">
        <v>390</v>
      </c>
      <c r="E124" s="12" t="s">
        <v>404</v>
      </c>
      <c r="F124" s="12" t="s">
        <v>17</v>
      </c>
      <c r="G124" s="15">
        <v>82669338</v>
      </c>
      <c r="H124" s="15">
        <v>9093627</v>
      </c>
      <c r="I124" s="4"/>
      <c r="M124" s="5"/>
    </row>
    <row r="125" spans="1:13" ht="17.25" customHeight="1" x14ac:dyDescent="0.25">
      <c r="A125" s="11">
        <v>45324</v>
      </c>
      <c r="B125" s="12" t="s">
        <v>405</v>
      </c>
      <c r="C125" s="13" t="s">
        <v>406</v>
      </c>
      <c r="D125" s="12" t="s">
        <v>15</v>
      </c>
      <c r="E125" s="12" t="s">
        <v>146</v>
      </c>
      <c r="F125" s="12" t="s">
        <v>124</v>
      </c>
      <c r="G125" s="15">
        <v>261000</v>
      </c>
      <c r="H125" s="15">
        <v>28710</v>
      </c>
      <c r="I125" s="4"/>
      <c r="M125" s="5"/>
    </row>
    <row r="126" spans="1:13" ht="17.25" customHeight="1" x14ac:dyDescent="0.25">
      <c r="A126" s="11">
        <v>45324</v>
      </c>
      <c r="B126" s="12" t="s">
        <v>407</v>
      </c>
      <c r="C126" s="13" t="s">
        <v>408</v>
      </c>
      <c r="D126" s="12" t="s">
        <v>87</v>
      </c>
      <c r="E126" s="12" t="s">
        <v>409</v>
      </c>
      <c r="F126" s="12" t="s">
        <v>43</v>
      </c>
      <c r="G126" s="15">
        <v>69824000</v>
      </c>
      <c r="H126" s="15">
        <v>7680640</v>
      </c>
      <c r="I126" s="4"/>
      <c r="M126" s="5"/>
    </row>
    <row r="127" spans="1:13" ht="17.25" customHeight="1" x14ac:dyDescent="0.25">
      <c r="A127" s="11">
        <v>45324</v>
      </c>
      <c r="B127" s="12" t="s">
        <v>410</v>
      </c>
      <c r="C127" s="13" t="s">
        <v>411</v>
      </c>
      <c r="D127" s="12" t="s">
        <v>412</v>
      </c>
      <c r="E127" s="12" t="s">
        <v>413</v>
      </c>
      <c r="F127" s="12" t="s">
        <v>414</v>
      </c>
      <c r="G127" s="15">
        <v>5775500</v>
      </c>
      <c r="H127" s="15">
        <v>635304</v>
      </c>
      <c r="I127" s="4"/>
      <c r="M127" s="5"/>
    </row>
    <row r="128" spans="1:13" ht="17.25" customHeight="1" x14ac:dyDescent="0.25">
      <c r="A128" s="11">
        <v>45324</v>
      </c>
      <c r="B128" s="12" t="s">
        <v>415</v>
      </c>
      <c r="C128" s="13" t="s">
        <v>416</v>
      </c>
      <c r="D128" s="12" t="s">
        <v>87</v>
      </c>
      <c r="E128" s="12" t="s">
        <v>417</v>
      </c>
      <c r="F128" s="12" t="s">
        <v>308</v>
      </c>
      <c r="G128" s="15">
        <v>2660000</v>
      </c>
      <c r="H128" s="15">
        <v>292600</v>
      </c>
      <c r="I128" s="4"/>
      <c r="M128" s="5"/>
    </row>
    <row r="129" spans="1:13" ht="17.25" customHeight="1" x14ac:dyDescent="0.25">
      <c r="A129" s="11">
        <v>45324</v>
      </c>
      <c r="B129" s="12" t="s">
        <v>418</v>
      </c>
      <c r="C129" s="13" t="s">
        <v>419</v>
      </c>
      <c r="D129" s="12" t="s">
        <v>87</v>
      </c>
      <c r="E129" s="12" t="s">
        <v>417</v>
      </c>
      <c r="F129" s="12" t="s">
        <v>420</v>
      </c>
      <c r="G129" s="15">
        <v>2654633</v>
      </c>
      <c r="H129" s="15">
        <v>292009</v>
      </c>
      <c r="I129" s="4"/>
      <c r="M129" s="5"/>
    </row>
    <row r="130" spans="1:13" ht="17.25" customHeight="1" x14ac:dyDescent="0.25">
      <c r="A130" s="11">
        <v>45325</v>
      </c>
      <c r="B130" s="12" t="s">
        <v>421</v>
      </c>
      <c r="C130" s="13" t="s">
        <v>422</v>
      </c>
      <c r="D130" s="12" t="s">
        <v>412</v>
      </c>
      <c r="E130" s="12" t="s">
        <v>423</v>
      </c>
      <c r="F130" s="12" t="s">
        <v>424</v>
      </c>
      <c r="G130" s="15">
        <v>805000</v>
      </c>
      <c r="H130" s="15">
        <v>88550</v>
      </c>
      <c r="I130" s="4"/>
      <c r="M130" s="5"/>
    </row>
    <row r="131" spans="1:13" ht="17.25" customHeight="1" x14ac:dyDescent="0.25">
      <c r="A131" s="11">
        <v>45325</v>
      </c>
      <c r="B131" s="12" t="s">
        <v>425</v>
      </c>
      <c r="C131" s="13" t="s">
        <v>426</v>
      </c>
      <c r="D131" s="12" t="s">
        <v>412</v>
      </c>
      <c r="E131" s="12" t="s">
        <v>423</v>
      </c>
      <c r="F131" s="12" t="s">
        <v>427</v>
      </c>
      <c r="G131" s="15">
        <v>805000</v>
      </c>
      <c r="H131" s="15">
        <v>88550</v>
      </c>
      <c r="I131" s="4"/>
      <c r="M131" s="5"/>
    </row>
    <row r="132" spans="1:13" ht="17.25" customHeight="1" x14ac:dyDescent="0.25">
      <c r="A132" s="11">
        <v>45325</v>
      </c>
      <c r="B132" s="12" t="s">
        <v>428</v>
      </c>
      <c r="C132" s="13" t="s">
        <v>429</v>
      </c>
      <c r="D132" s="12" t="s">
        <v>412</v>
      </c>
      <c r="E132" s="12" t="s">
        <v>423</v>
      </c>
      <c r="F132" s="12" t="s">
        <v>430</v>
      </c>
      <c r="G132" s="15">
        <v>805000</v>
      </c>
      <c r="H132" s="15">
        <v>88550</v>
      </c>
      <c r="I132" s="4"/>
      <c r="M132" s="5"/>
    </row>
    <row r="133" spans="1:13" ht="17.25" customHeight="1" x14ac:dyDescent="0.25">
      <c r="A133" s="11">
        <v>45325</v>
      </c>
      <c r="B133" s="12" t="s">
        <v>431</v>
      </c>
      <c r="C133" s="13" t="s">
        <v>432</v>
      </c>
      <c r="D133" s="12" t="s">
        <v>412</v>
      </c>
      <c r="E133" s="12" t="s">
        <v>423</v>
      </c>
      <c r="F133" s="12" t="s">
        <v>433</v>
      </c>
      <c r="G133" s="15">
        <v>805000</v>
      </c>
      <c r="H133" s="15">
        <v>88550</v>
      </c>
      <c r="I133" s="4"/>
      <c r="M133" s="5"/>
    </row>
    <row r="134" spans="1:13" ht="17.25" customHeight="1" x14ac:dyDescent="0.25">
      <c r="A134" s="11">
        <v>45325</v>
      </c>
      <c r="B134" s="12" t="s">
        <v>434</v>
      </c>
      <c r="C134" s="13" t="s">
        <v>435</v>
      </c>
      <c r="D134" s="12" t="s">
        <v>412</v>
      </c>
      <c r="E134" s="12" t="s">
        <v>423</v>
      </c>
      <c r="F134" s="12" t="s">
        <v>436</v>
      </c>
      <c r="G134" s="15">
        <v>805000</v>
      </c>
      <c r="H134" s="15">
        <v>88550</v>
      </c>
      <c r="I134" s="4"/>
      <c r="M134" s="5"/>
    </row>
    <row r="135" spans="1:13" ht="17.25" customHeight="1" x14ac:dyDescent="0.25">
      <c r="A135" s="11">
        <v>45325</v>
      </c>
      <c r="B135" s="12" t="s">
        <v>437</v>
      </c>
      <c r="C135" s="13" t="s">
        <v>438</v>
      </c>
      <c r="D135" s="12" t="s">
        <v>412</v>
      </c>
      <c r="E135" s="12" t="s">
        <v>423</v>
      </c>
      <c r="F135" s="12" t="s">
        <v>439</v>
      </c>
      <c r="G135" s="15">
        <v>805000</v>
      </c>
      <c r="H135" s="15">
        <v>88550</v>
      </c>
      <c r="I135" s="4"/>
      <c r="M135" s="5"/>
    </row>
    <row r="136" spans="1:13" ht="17.25" customHeight="1" x14ac:dyDescent="0.25">
      <c r="A136" s="11">
        <v>45325</v>
      </c>
      <c r="B136" s="12" t="s">
        <v>440</v>
      </c>
      <c r="C136" s="13" t="s">
        <v>441</v>
      </c>
      <c r="D136" s="12" t="s">
        <v>412</v>
      </c>
      <c r="E136" s="12" t="s">
        <v>423</v>
      </c>
      <c r="F136" s="12" t="s">
        <v>442</v>
      </c>
      <c r="G136" s="15">
        <v>805000</v>
      </c>
      <c r="H136" s="15">
        <v>88550</v>
      </c>
      <c r="I136" s="4"/>
      <c r="M136" s="5"/>
    </row>
    <row r="137" spans="1:13" ht="17.25" customHeight="1" x14ac:dyDescent="0.25">
      <c r="A137" s="11">
        <v>45325</v>
      </c>
      <c r="B137" s="12" t="s">
        <v>443</v>
      </c>
      <c r="C137" s="13" t="s">
        <v>444</v>
      </c>
      <c r="D137" s="12" t="s">
        <v>412</v>
      </c>
      <c r="E137" s="12" t="s">
        <v>423</v>
      </c>
      <c r="F137" s="12" t="s">
        <v>445</v>
      </c>
      <c r="G137" s="15">
        <v>805000</v>
      </c>
      <c r="H137" s="15">
        <v>88550</v>
      </c>
      <c r="I137" s="4"/>
      <c r="M137" s="5"/>
    </row>
    <row r="138" spans="1:13" ht="17.25" customHeight="1" x14ac:dyDescent="0.25">
      <c r="A138" s="11">
        <v>45327</v>
      </c>
      <c r="B138" s="12" t="s">
        <v>446</v>
      </c>
      <c r="C138" s="13" t="s">
        <v>447</v>
      </c>
      <c r="D138" s="12" t="s">
        <v>15</v>
      </c>
      <c r="E138" s="12" t="s">
        <v>448</v>
      </c>
      <c r="F138" s="12" t="s">
        <v>17</v>
      </c>
      <c r="G138" s="15">
        <v>28078800</v>
      </c>
      <c r="H138" s="15">
        <v>3088668</v>
      </c>
      <c r="I138" s="4"/>
      <c r="M138" s="5"/>
    </row>
    <row r="139" spans="1:13" ht="17.25" customHeight="1" x14ac:dyDescent="0.25">
      <c r="A139" s="11">
        <v>45328</v>
      </c>
      <c r="B139" s="12" t="s">
        <v>449</v>
      </c>
      <c r="C139" s="13" t="s">
        <v>450</v>
      </c>
      <c r="D139" s="12" t="s">
        <v>15</v>
      </c>
      <c r="E139" s="12" t="s">
        <v>451</v>
      </c>
      <c r="F139" s="12" t="s">
        <v>175</v>
      </c>
      <c r="G139" s="15">
        <v>1999750</v>
      </c>
      <c r="H139" s="15">
        <v>219973</v>
      </c>
      <c r="I139" s="4"/>
      <c r="M139" s="5"/>
    </row>
    <row r="140" spans="1:13" ht="17.25" customHeight="1" x14ac:dyDescent="0.25">
      <c r="A140" s="11">
        <v>45328</v>
      </c>
      <c r="B140" s="12" t="s">
        <v>452</v>
      </c>
      <c r="C140" s="13" t="s">
        <v>453</v>
      </c>
      <c r="D140" s="12" t="s">
        <v>15</v>
      </c>
      <c r="E140" s="12" t="s">
        <v>451</v>
      </c>
      <c r="F140" s="12" t="s">
        <v>147</v>
      </c>
      <c r="G140" s="15">
        <v>1999750</v>
      </c>
      <c r="H140" s="15">
        <v>219973</v>
      </c>
      <c r="I140" s="4"/>
      <c r="M140" s="5"/>
    </row>
    <row r="141" spans="1:13" ht="17.25" customHeight="1" x14ac:dyDescent="0.25">
      <c r="A141" s="11">
        <v>45328</v>
      </c>
      <c r="B141" s="12" t="s">
        <v>454</v>
      </c>
      <c r="C141" s="13" t="s">
        <v>455</v>
      </c>
      <c r="D141" s="12" t="s">
        <v>15</v>
      </c>
      <c r="E141" s="12" t="s">
        <v>451</v>
      </c>
      <c r="F141" s="12" t="s">
        <v>22</v>
      </c>
      <c r="G141" s="15">
        <v>1999750</v>
      </c>
      <c r="H141" s="15">
        <v>219973</v>
      </c>
      <c r="I141" s="4"/>
      <c r="M141" s="5"/>
    </row>
    <row r="142" spans="1:13" ht="17.25" customHeight="1" x14ac:dyDescent="0.25">
      <c r="A142" s="11">
        <v>45328</v>
      </c>
      <c r="B142" s="12" t="s">
        <v>456</v>
      </c>
      <c r="C142" s="13" t="s">
        <v>457</v>
      </c>
      <c r="D142" s="12" t="s">
        <v>15</v>
      </c>
      <c r="E142" s="12" t="s">
        <v>451</v>
      </c>
      <c r="F142" s="12" t="s">
        <v>17</v>
      </c>
      <c r="G142" s="15">
        <v>1999750</v>
      </c>
      <c r="H142" s="15">
        <v>219973</v>
      </c>
      <c r="I142" s="4"/>
      <c r="M142" s="5"/>
    </row>
    <row r="143" spans="1:13" ht="17.25" customHeight="1" x14ac:dyDescent="0.25">
      <c r="A143" s="11">
        <v>45328</v>
      </c>
      <c r="B143" s="12" t="s">
        <v>458</v>
      </c>
      <c r="C143" s="13" t="s">
        <v>459</v>
      </c>
      <c r="D143" s="12" t="s">
        <v>15</v>
      </c>
      <c r="E143" s="12" t="s">
        <v>451</v>
      </c>
      <c r="F143" s="12" t="s">
        <v>43</v>
      </c>
      <c r="G143" s="15">
        <v>39000000</v>
      </c>
      <c r="H143" s="15">
        <v>4290000</v>
      </c>
      <c r="I143" s="4"/>
      <c r="M143" s="5"/>
    </row>
    <row r="144" spans="1:13" ht="17.25" customHeight="1" x14ac:dyDescent="0.25">
      <c r="A144" s="11">
        <v>45328</v>
      </c>
      <c r="B144" s="12" t="s">
        <v>460</v>
      </c>
      <c r="C144" s="13" t="s">
        <v>461</v>
      </c>
      <c r="D144" s="12" t="s">
        <v>46</v>
      </c>
      <c r="E144" s="12" t="s">
        <v>57</v>
      </c>
      <c r="F144" s="12" t="s">
        <v>462</v>
      </c>
      <c r="G144" s="15">
        <v>6372000</v>
      </c>
      <c r="H144" s="15">
        <v>700920</v>
      </c>
      <c r="I144" s="4"/>
      <c r="M144" s="5"/>
    </row>
    <row r="145" spans="1:13" ht="17.25" customHeight="1" x14ac:dyDescent="0.25">
      <c r="A145" s="11">
        <v>45328</v>
      </c>
      <c r="B145" s="12" t="s">
        <v>463</v>
      </c>
      <c r="C145" s="13" t="s">
        <v>464</v>
      </c>
      <c r="D145" s="12" t="s">
        <v>46</v>
      </c>
      <c r="E145" s="12" t="s">
        <v>57</v>
      </c>
      <c r="F145" s="12" t="s">
        <v>465</v>
      </c>
      <c r="G145" s="15">
        <v>20105500</v>
      </c>
      <c r="H145" s="15">
        <v>2211605</v>
      </c>
      <c r="I145" s="4"/>
      <c r="M145" s="5"/>
    </row>
    <row r="146" spans="1:13" ht="17.25" customHeight="1" x14ac:dyDescent="0.25">
      <c r="A146" s="11">
        <v>45328</v>
      </c>
      <c r="B146" s="12" t="s">
        <v>466</v>
      </c>
      <c r="C146" s="13" t="s">
        <v>467</v>
      </c>
      <c r="D146" s="12" t="s">
        <v>46</v>
      </c>
      <c r="E146" s="12" t="s">
        <v>57</v>
      </c>
      <c r="F146" s="12" t="s">
        <v>468</v>
      </c>
      <c r="G146" s="15">
        <v>8032000</v>
      </c>
      <c r="H146" s="15">
        <v>883520</v>
      </c>
      <c r="I146" s="4"/>
      <c r="M146" s="5"/>
    </row>
    <row r="147" spans="1:13" ht="17.25" customHeight="1" x14ac:dyDescent="0.25">
      <c r="A147" s="11">
        <v>45329</v>
      </c>
      <c r="B147" s="12" t="s">
        <v>469</v>
      </c>
      <c r="C147" s="13" t="s">
        <v>470</v>
      </c>
      <c r="D147" s="12" t="s">
        <v>28</v>
      </c>
      <c r="E147" s="12" t="s">
        <v>29</v>
      </c>
      <c r="F147" s="12" t="s">
        <v>471</v>
      </c>
      <c r="G147" s="15">
        <v>310000</v>
      </c>
      <c r="H147" s="15">
        <v>34100</v>
      </c>
      <c r="I147" s="4"/>
      <c r="M147" s="5"/>
    </row>
    <row r="148" spans="1:13" ht="17.25" customHeight="1" x14ac:dyDescent="0.25">
      <c r="A148" s="11">
        <v>45331</v>
      </c>
      <c r="B148" s="12" t="s">
        <v>472</v>
      </c>
      <c r="C148" s="13" t="s">
        <v>473</v>
      </c>
      <c r="D148" s="12" t="s">
        <v>474</v>
      </c>
      <c r="E148" s="12" t="s">
        <v>475</v>
      </c>
      <c r="F148" s="12" t="s">
        <v>22</v>
      </c>
      <c r="G148" s="15">
        <v>38509700</v>
      </c>
      <c r="H148" s="15">
        <v>4236067</v>
      </c>
      <c r="I148" s="4"/>
      <c r="M148" s="5"/>
    </row>
    <row r="149" spans="1:13" ht="17.25" customHeight="1" x14ac:dyDescent="0.25">
      <c r="A149" s="11">
        <v>45331</v>
      </c>
      <c r="B149" s="12" t="s">
        <v>476</v>
      </c>
      <c r="C149" s="13" t="s">
        <v>477</v>
      </c>
      <c r="D149" s="12" t="s">
        <v>474</v>
      </c>
      <c r="E149" s="12" t="s">
        <v>475</v>
      </c>
      <c r="F149" s="12" t="s">
        <v>17</v>
      </c>
      <c r="G149" s="15">
        <v>40508870</v>
      </c>
      <c r="H149" s="15">
        <v>4455975</v>
      </c>
      <c r="I149" s="4"/>
      <c r="M149" s="5"/>
    </row>
    <row r="150" spans="1:13" ht="17.25" customHeight="1" x14ac:dyDescent="0.25">
      <c r="A150" s="11">
        <v>45331</v>
      </c>
      <c r="B150" s="12" t="s">
        <v>478</v>
      </c>
      <c r="C150" s="13" t="s">
        <v>479</v>
      </c>
      <c r="D150" s="12" t="s">
        <v>474</v>
      </c>
      <c r="E150" s="12" t="s">
        <v>475</v>
      </c>
      <c r="F150" s="12" t="s">
        <v>124</v>
      </c>
      <c r="G150" s="15">
        <v>31234700</v>
      </c>
      <c r="H150" s="15">
        <v>3435817</v>
      </c>
      <c r="I150" s="4"/>
      <c r="M150" s="5"/>
    </row>
    <row r="151" spans="1:13" ht="17.25" customHeight="1" x14ac:dyDescent="0.25">
      <c r="A151" s="11">
        <v>45331</v>
      </c>
      <c r="B151" s="12" t="s">
        <v>480</v>
      </c>
      <c r="C151" s="13" t="s">
        <v>481</v>
      </c>
      <c r="D151" s="12" t="s">
        <v>137</v>
      </c>
      <c r="E151" s="12" t="s">
        <v>143</v>
      </c>
      <c r="F151" s="12" t="s">
        <v>341</v>
      </c>
      <c r="G151" s="15">
        <v>137700</v>
      </c>
      <c r="H151" s="15">
        <v>15147</v>
      </c>
      <c r="I151" s="4"/>
      <c r="M151" s="5"/>
    </row>
    <row r="152" spans="1:13" ht="17.25" customHeight="1" x14ac:dyDescent="0.25">
      <c r="A152" s="11">
        <v>45334</v>
      </c>
      <c r="B152" s="12" t="s">
        <v>482</v>
      </c>
      <c r="C152" s="13" t="s">
        <v>483</v>
      </c>
      <c r="D152" s="12" t="s">
        <v>15</v>
      </c>
      <c r="E152" s="12" t="s">
        <v>484</v>
      </c>
      <c r="F152" s="12" t="s">
        <v>22</v>
      </c>
      <c r="G152" s="15">
        <v>3880000</v>
      </c>
      <c r="H152" s="15">
        <v>426800</v>
      </c>
      <c r="I152" s="4"/>
      <c r="M152" s="5"/>
    </row>
    <row r="153" spans="1:13" ht="17.25" customHeight="1" x14ac:dyDescent="0.25">
      <c r="A153" s="11">
        <v>45334</v>
      </c>
      <c r="B153" s="12" t="s">
        <v>485</v>
      </c>
      <c r="C153" s="13" t="s">
        <v>486</v>
      </c>
      <c r="D153" s="12" t="s">
        <v>235</v>
      </c>
      <c r="E153" s="12" t="s">
        <v>243</v>
      </c>
      <c r="F153" s="12" t="s">
        <v>43</v>
      </c>
      <c r="G153" s="15">
        <v>300000</v>
      </c>
      <c r="H153" s="15">
        <v>33000</v>
      </c>
      <c r="I153" s="4"/>
      <c r="M153" s="5"/>
    </row>
    <row r="154" spans="1:13" ht="17.25" customHeight="1" x14ac:dyDescent="0.25">
      <c r="A154" s="11">
        <v>45338</v>
      </c>
      <c r="B154" s="12" t="s">
        <v>487</v>
      </c>
      <c r="C154" s="13" t="s">
        <v>488</v>
      </c>
      <c r="D154" s="12" t="s">
        <v>15</v>
      </c>
      <c r="E154" s="12" t="s">
        <v>376</v>
      </c>
      <c r="F154" s="12" t="s">
        <v>489</v>
      </c>
      <c r="G154" s="15">
        <v>4200000</v>
      </c>
      <c r="H154" s="15">
        <v>462000</v>
      </c>
      <c r="I154" s="4"/>
      <c r="M154" s="5"/>
    </row>
    <row r="155" spans="1:13" ht="17.25" customHeight="1" x14ac:dyDescent="0.2">
      <c r="A155" s="1"/>
      <c r="C155" s="3"/>
      <c r="G155" s="3"/>
      <c r="H155" s="3"/>
      <c r="I155" s="4"/>
      <c r="M155" s="5"/>
    </row>
    <row r="156" spans="1:13" ht="17.25" customHeight="1" x14ac:dyDescent="0.25">
      <c r="A156" s="11">
        <v>45341</v>
      </c>
      <c r="B156" s="40" t="s">
        <v>490</v>
      </c>
      <c r="C156" s="41" t="s">
        <v>491</v>
      </c>
      <c r="D156" s="42" t="s">
        <v>137</v>
      </c>
      <c r="E156" s="42" t="s">
        <v>138</v>
      </c>
      <c r="F156" s="42" t="s">
        <v>341</v>
      </c>
      <c r="G156" s="43">
        <v>82360</v>
      </c>
      <c r="H156" s="43">
        <f>G156*11%-1</f>
        <v>9058.6</v>
      </c>
      <c r="I156" s="4"/>
      <c r="M156" s="5"/>
    </row>
    <row r="157" spans="1:13" ht="17.25" customHeight="1" x14ac:dyDescent="0.25">
      <c r="A157" s="11">
        <v>45341</v>
      </c>
      <c r="B157" s="40" t="s">
        <v>492</v>
      </c>
      <c r="C157" s="41" t="s">
        <v>493</v>
      </c>
      <c r="D157" s="42" t="s">
        <v>137</v>
      </c>
      <c r="E157" s="42" t="s">
        <v>494</v>
      </c>
      <c r="F157" s="42" t="s">
        <v>495</v>
      </c>
      <c r="G157" s="43">
        <v>31910</v>
      </c>
      <c r="H157" s="43">
        <f t="shared" ref="H157:H163" si="0">G157*11%</f>
        <v>3510.1</v>
      </c>
      <c r="I157" s="4"/>
      <c r="M157" s="5"/>
    </row>
    <row r="158" spans="1:13" ht="17.25" customHeight="1" x14ac:dyDescent="0.25">
      <c r="A158" s="11">
        <v>45341</v>
      </c>
      <c r="B158" s="40" t="s">
        <v>496</v>
      </c>
      <c r="C158" s="41" t="s">
        <v>497</v>
      </c>
      <c r="D158" s="42" t="s">
        <v>137</v>
      </c>
      <c r="E158" s="42" t="s">
        <v>494</v>
      </c>
      <c r="F158" s="42" t="s">
        <v>341</v>
      </c>
      <c r="G158" s="43">
        <v>191440</v>
      </c>
      <c r="H158" s="43">
        <f t="shared" si="0"/>
        <v>21058.400000000001</v>
      </c>
      <c r="I158" s="4"/>
      <c r="M158" s="5"/>
    </row>
    <row r="159" spans="1:13" ht="17.25" customHeight="1" x14ac:dyDescent="0.25">
      <c r="A159" s="11">
        <v>45341</v>
      </c>
      <c r="B159" s="40" t="s">
        <v>498</v>
      </c>
      <c r="C159" s="41" t="s">
        <v>499</v>
      </c>
      <c r="D159" s="42" t="s">
        <v>328</v>
      </c>
      <c r="E159" s="42" t="s">
        <v>500</v>
      </c>
      <c r="F159" s="42" t="s">
        <v>341</v>
      </c>
      <c r="G159" s="43">
        <v>6038500</v>
      </c>
      <c r="H159" s="43">
        <f t="shared" si="0"/>
        <v>664235</v>
      </c>
      <c r="I159" s="4"/>
      <c r="M159" s="5"/>
    </row>
    <row r="160" spans="1:13" ht="17.25" customHeight="1" x14ac:dyDescent="0.25">
      <c r="A160" s="11">
        <v>45341</v>
      </c>
      <c r="B160" s="40" t="s">
        <v>501</v>
      </c>
      <c r="C160" s="41" t="s">
        <v>502</v>
      </c>
      <c r="D160" s="42" t="s">
        <v>328</v>
      </c>
      <c r="E160" s="42" t="s">
        <v>503</v>
      </c>
      <c r="F160" s="42" t="s">
        <v>341</v>
      </c>
      <c r="G160" s="43">
        <v>553500</v>
      </c>
      <c r="H160" s="43">
        <f t="shared" si="0"/>
        <v>60885</v>
      </c>
      <c r="I160" s="4"/>
      <c r="M160" s="5"/>
    </row>
    <row r="161" spans="1:13" ht="17.25" customHeight="1" x14ac:dyDescent="0.25">
      <c r="A161" s="11">
        <v>45341</v>
      </c>
      <c r="B161" s="40" t="s">
        <v>504</v>
      </c>
      <c r="C161" s="41" t="s">
        <v>505</v>
      </c>
      <c r="D161" s="42" t="s">
        <v>506</v>
      </c>
      <c r="E161" s="42" t="s">
        <v>507</v>
      </c>
      <c r="F161" s="42" t="s">
        <v>508</v>
      </c>
      <c r="G161" s="43">
        <v>2550000</v>
      </c>
      <c r="H161" s="43">
        <f t="shared" si="0"/>
        <v>280500</v>
      </c>
      <c r="I161" s="4"/>
      <c r="M161" s="5"/>
    </row>
    <row r="162" spans="1:13" ht="17.25" customHeight="1" x14ac:dyDescent="0.25">
      <c r="A162" s="11">
        <v>45343</v>
      </c>
      <c r="B162" s="40" t="s">
        <v>509</v>
      </c>
      <c r="C162" s="41" t="s">
        <v>510</v>
      </c>
      <c r="D162" s="42" t="s">
        <v>15</v>
      </c>
      <c r="E162" s="42" t="s">
        <v>511</v>
      </c>
      <c r="F162" s="42" t="s">
        <v>512</v>
      </c>
      <c r="G162" s="43">
        <v>501000</v>
      </c>
      <c r="H162" s="43">
        <f t="shared" si="0"/>
        <v>55110</v>
      </c>
      <c r="I162" s="4"/>
      <c r="M162" s="5"/>
    </row>
    <row r="163" spans="1:13" ht="17.25" customHeight="1" x14ac:dyDescent="0.25">
      <c r="A163" s="11">
        <v>45343</v>
      </c>
      <c r="B163" s="40" t="s">
        <v>513</v>
      </c>
      <c r="C163" s="41" t="s">
        <v>514</v>
      </c>
      <c r="D163" s="42" t="s">
        <v>20</v>
      </c>
      <c r="E163" s="42" t="s">
        <v>21</v>
      </c>
      <c r="F163" s="42" t="s">
        <v>124</v>
      </c>
      <c r="G163" s="43">
        <v>55624430</v>
      </c>
      <c r="H163" s="43">
        <f t="shared" si="0"/>
        <v>6118687.2999999998</v>
      </c>
      <c r="I163" s="4"/>
      <c r="M163" s="5"/>
    </row>
    <row r="164" spans="1:13" ht="17.25" customHeight="1" x14ac:dyDescent="0.25">
      <c r="A164" s="11">
        <v>45345</v>
      </c>
      <c r="B164" s="40" t="s">
        <v>515</v>
      </c>
      <c r="C164" s="41" t="s">
        <v>516</v>
      </c>
      <c r="D164" s="42" t="s">
        <v>87</v>
      </c>
      <c r="E164" s="42" t="s">
        <v>91</v>
      </c>
      <c r="F164" s="42" t="s">
        <v>84</v>
      </c>
      <c r="G164" s="43">
        <v>15738009</v>
      </c>
      <c r="H164" s="43">
        <f>G164*11%-1</f>
        <v>1731179.99</v>
      </c>
      <c r="I164" s="4"/>
      <c r="M164" s="5"/>
    </row>
    <row r="165" spans="1:13" ht="17.25" customHeight="1" x14ac:dyDescent="0.25">
      <c r="A165" s="11">
        <v>45345</v>
      </c>
      <c r="B165" s="40" t="s">
        <v>517</v>
      </c>
      <c r="C165" s="41" t="s">
        <v>518</v>
      </c>
      <c r="D165" s="42" t="s">
        <v>87</v>
      </c>
      <c r="E165" s="42" t="s">
        <v>91</v>
      </c>
      <c r="F165" s="42" t="s">
        <v>311</v>
      </c>
      <c r="G165" s="43">
        <v>14782500</v>
      </c>
      <c r="H165" s="43">
        <f>G165*11%</f>
        <v>1626075</v>
      </c>
      <c r="I165" s="4"/>
      <c r="M165" s="5"/>
    </row>
    <row r="166" spans="1:13" ht="17.25" customHeight="1" x14ac:dyDescent="0.25">
      <c r="A166" s="11">
        <v>45345</v>
      </c>
      <c r="B166" s="40" t="s">
        <v>519</v>
      </c>
      <c r="C166" s="41" t="s">
        <v>520</v>
      </c>
      <c r="D166" s="42" t="s">
        <v>15</v>
      </c>
      <c r="E166" s="42" t="s">
        <v>521</v>
      </c>
      <c r="F166" s="42" t="s">
        <v>22</v>
      </c>
      <c r="G166" s="43">
        <v>663750</v>
      </c>
      <c r="H166" s="43">
        <f>G166*11%-1</f>
        <v>73011.5</v>
      </c>
      <c r="I166" s="4"/>
      <c r="M166" s="5"/>
    </row>
    <row r="167" spans="1:13" ht="17.25" customHeight="1" x14ac:dyDescent="0.25">
      <c r="A167" s="11">
        <v>45345</v>
      </c>
      <c r="B167" s="40" t="s">
        <v>522</v>
      </c>
      <c r="C167" s="41" t="s">
        <v>523</v>
      </c>
      <c r="D167" s="42" t="s">
        <v>15</v>
      </c>
      <c r="E167" s="42" t="s">
        <v>521</v>
      </c>
      <c r="F167" s="42" t="s">
        <v>17</v>
      </c>
      <c r="G167" s="43">
        <v>663750</v>
      </c>
      <c r="H167" s="43">
        <f>G167*11%-1</f>
        <v>73011.5</v>
      </c>
      <c r="I167" s="4"/>
      <c r="M167" s="5"/>
    </row>
    <row r="168" spans="1:13" ht="17.25" customHeight="1" x14ac:dyDescent="0.25">
      <c r="A168" s="11">
        <v>45345</v>
      </c>
      <c r="B168" s="40" t="s">
        <v>524</v>
      </c>
      <c r="C168" s="41" t="s">
        <v>525</v>
      </c>
      <c r="D168" s="42" t="s">
        <v>15</v>
      </c>
      <c r="E168" s="42" t="s">
        <v>521</v>
      </c>
      <c r="F168" s="42" t="s">
        <v>124</v>
      </c>
      <c r="G168" s="43">
        <v>663750</v>
      </c>
      <c r="H168" s="43">
        <f>G168*11%-1</f>
        <v>73011.5</v>
      </c>
      <c r="I168" s="4"/>
      <c r="M168" s="5"/>
    </row>
    <row r="169" spans="1:13" ht="17.25" customHeight="1" x14ac:dyDescent="0.25">
      <c r="A169" s="11">
        <v>45345</v>
      </c>
      <c r="B169" s="40" t="s">
        <v>526</v>
      </c>
      <c r="C169" s="41" t="s">
        <v>527</v>
      </c>
      <c r="D169" s="42" t="s">
        <v>15</v>
      </c>
      <c r="E169" s="42" t="s">
        <v>521</v>
      </c>
      <c r="F169" s="42" t="s">
        <v>341</v>
      </c>
      <c r="G169" s="43">
        <v>663750</v>
      </c>
      <c r="H169" s="43">
        <f>G169*11%-1</f>
        <v>73011.5</v>
      </c>
      <c r="I169" s="4"/>
      <c r="M169" s="5"/>
    </row>
    <row r="170" spans="1:13" ht="17.25" customHeight="1" x14ac:dyDescent="0.25">
      <c r="A170" s="11">
        <v>45345</v>
      </c>
      <c r="B170" s="40" t="s">
        <v>528</v>
      </c>
      <c r="C170" s="41" t="s">
        <v>529</v>
      </c>
      <c r="D170" s="42" t="s">
        <v>137</v>
      </c>
      <c r="E170" s="42" t="s">
        <v>143</v>
      </c>
      <c r="F170" s="42" t="s">
        <v>43</v>
      </c>
      <c r="G170" s="43">
        <v>3000000</v>
      </c>
      <c r="H170" s="43">
        <f>G170*11%</f>
        <v>330000</v>
      </c>
      <c r="I170" s="4"/>
      <c r="M170" s="5"/>
    </row>
    <row r="171" spans="1:13" ht="17.25" customHeight="1" x14ac:dyDescent="0.25">
      <c r="A171" s="11">
        <v>45345</v>
      </c>
      <c r="B171" s="40" t="s">
        <v>530</v>
      </c>
      <c r="C171" s="41" t="s">
        <v>531</v>
      </c>
      <c r="D171" s="42" t="s">
        <v>15</v>
      </c>
      <c r="E171" s="42" t="s">
        <v>532</v>
      </c>
      <c r="F171" s="42" t="s">
        <v>72</v>
      </c>
      <c r="G171" s="43">
        <v>11250000</v>
      </c>
      <c r="H171" s="43">
        <f>G171*11%</f>
        <v>1237500</v>
      </c>
      <c r="I171" s="4"/>
      <c r="M171" s="5"/>
    </row>
    <row r="172" spans="1:13" ht="17.25" customHeight="1" x14ac:dyDescent="0.25">
      <c r="A172" s="11">
        <v>45349</v>
      </c>
      <c r="B172" s="40" t="s">
        <v>533</v>
      </c>
      <c r="C172" s="41" t="s">
        <v>534</v>
      </c>
      <c r="D172" s="42" t="s">
        <v>15</v>
      </c>
      <c r="E172" s="42" t="s">
        <v>249</v>
      </c>
      <c r="F172" s="42" t="s">
        <v>17</v>
      </c>
      <c r="G172" s="43">
        <v>31504259</v>
      </c>
      <c r="H172" s="43">
        <f>G172*11%</f>
        <v>3465468.49</v>
      </c>
      <c r="I172" s="4"/>
      <c r="M172" s="5"/>
    </row>
    <row r="173" spans="1:13" ht="17.25" customHeight="1" x14ac:dyDescent="0.25">
      <c r="A173" s="11">
        <v>45349</v>
      </c>
      <c r="B173" s="40" t="s">
        <v>535</v>
      </c>
      <c r="C173" s="41" t="s">
        <v>536</v>
      </c>
      <c r="D173" s="42" t="s">
        <v>15</v>
      </c>
      <c r="E173" s="42" t="s">
        <v>249</v>
      </c>
      <c r="F173" s="42" t="s">
        <v>124</v>
      </c>
      <c r="G173" s="43">
        <v>31152400</v>
      </c>
      <c r="H173" s="43">
        <f>G173*11%</f>
        <v>3426764</v>
      </c>
      <c r="I173" s="4"/>
      <c r="M173" s="5"/>
    </row>
    <row r="174" spans="1:13" ht="17.25" customHeight="1" x14ac:dyDescent="0.25">
      <c r="A174" s="11">
        <v>45350</v>
      </c>
      <c r="B174" s="40" t="s">
        <v>537</v>
      </c>
      <c r="C174" s="41" t="s">
        <v>538</v>
      </c>
      <c r="D174" s="42" t="s">
        <v>20</v>
      </c>
      <c r="E174" s="42" t="s">
        <v>21</v>
      </c>
      <c r="F174" s="42" t="s">
        <v>341</v>
      </c>
      <c r="G174" s="43">
        <v>67482960</v>
      </c>
      <c r="H174" s="43">
        <f>G174*11%-1</f>
        <v>7423124.5999999996</v>
      </c>
      <c r="I174" s="4"/>
      <c r="M174" s="5"/>
    </row>
    <row r="175" spans="1:13" ht="17.25" customHeight="1" x14ac:dyDescent="0.25">
      <c r="A175" s="11">
        <v>45350</v>
      </c>
      <c r="B175" s="40" t="s">
        <v>539</v>
      </c>
      <c r="C175" s="41" t="s">
        <v>540</v>
      </c>
      <c r="D175" s="42" t="s">
        <v>15</v>
      </c>
      <c r="E175" s="42" t="s">
        <v>383</v>
      </c>
      <c r="F175" s="42" t="s">
        <v>341</v>
      </c>
      <c r="G175" s="43">
        <v>58520600</v>
      </c>
      <c r="H175" s="43">
        <f t="shared" ref="H175:H181" si="1">G175*11%</f>
        <v>6437266</v>
      </c>
      <c r="I175" s="4"/>
      <c r="M175" s="5"/>
    </row>
    <row r="176" spans="1:13" ht="17.25" customHeight="1" x14ac:dyDescent="0.25">
      <c r="A176" s="11">
        <v>45350</v>
      </c>
      <c r="B176" s="40" t="s">
        <v>541</v>
      </c>
      <c r="C176" s="41" t="s">
        <v>542</v>
      </c>
      <c r="D176" s="42" t="s">
        <v>15</v>
      </c>
      <c r="E176" s="42" t="s">
        <v>543</v>
      </c>
      <c r="F176" s="42" t="s">
        <v>22</v>
      </c>
      <c r="G176" s="43">
        <v>47442200</v>
      </c>
      <c r="H176" s="43">
        <f t="shared" si="1"/>
        <v>5218642</v>
      </c>
      <c r="I176" s="4"/>
      <c r="M176" s="5"/>
    </row>
    <row r="177" spans="1:13" ht="17.25" customHeight="1" x14ac:dyDescent="0.25">
      <c r="A177" s="11">
        <v>45350</v>
      </c>
      <c r="B177" s="40" t="s">
        <v>544</v>
      </c>
      <c r="C177" s="41" t="s">
        <v>545</v>
      </c>
      <c r="D177" s="42" t="s">
        <v>15</v>
      </c>
      <c r="E177" s="42" t="s">
        <v>546</v>
      </c>
      <c r="F177" s="42" t="s">
        <v>17</v>
      </c>
      <c r="G177" s="43">
        <v>76110800</v>
      </c>
      <c r="H177" s="43">
        <f t="shared" si="1"/>
        <v>8372188</v>
      </c>
      <c r="I177" s="4"/>
      <c r="M177" s="5"/>
    </row>
    <row r="178" spans="1:13" ht="17.25" customHeight="1" x14ac:dyDescent="0.25">
      <c r="A178" s="11">
        <v>45350</v>
      </c>
      <c r="B178" s="40" t="s">
        <v>547</v>
      </c>
      <c r="C178" s="41" t="s">
        <v>548</v>
      </c>
      <c r="D178" s="42" t="s">
        <v>15</v>
      </c>
      <c r="E178" s="42" t="s">
        <v>546</v>
      </c>
      <c r="F178" s="42" t="s">
        <v>124</v>
      </c>
      <c r="G178" s="43">
        <v>68639600</v>
      </c>
      <c r="H178" s="43">
        <f t="shared" si="1"/>
        <v>7550356</v>
      </c>
      <c r="I178" s="4"/>
      <c r="M178" s="5"/>
    </row>
    <row r="179" spans="1:13" ht="17.25" customHeight="1" x14ac:dyDescent="0.25">
      <c r="A179" s="11">
        <v>45351</v>
      </c>
      <c r="B179" s="40" t="s">
        <v>549</v>
      </c>
      <c r="C179" s="41" t="s">
        <v>550</v>
      </c>
      <c r="D179" s="42" t="s">
        <v>46</v>
      </c>
      <c r="E179" s="42" t="s">
        <v>551</v>
      </c>
      <c r="F179" s="42" t="s">
        <v>552</v>
      </c>
      <c r="G179" s="43">
        <v>119487400</v>
      </c>
      <c r="H179" s="43">
        <f t="shared" si="1"/>
        <v>13143614</v>
      </c>
      <c r="I179" s="4"/>
      <c r="M179" s="5"/>
    </row>
    <row r="180" spans="1:13" ht="17.25" customHeight="1" x14ac:dyDescent="0.25">
      <c r="A180" s="11">
        <v>45351</v>
      </c>
      <c r="B180" s="40" t="s">
        <v>553</v>
      </c>
      <c r="C180" s="41" t="s">
        <v>554</v>
      </c>
      <c r="D180" s="42" t="s">
        <v>46</v>
      </c>
      <c r="E180" s="42" t="s">
        <v>555</v>
      </c>
      <c r="F180" s="42" t="s">
        <v>54</v>
      </c>
      <c r="G180" s="43">
        <v>1125000</v>
      </c>
      <c r="H180" s="43">
        <f t="shared" si="1"/>
        <v>123750</v>
      </c>
      <c r="I180" s="4"/>
      <c r="M180" s="5"/>
    </row>
    <row r="181" spans="1:13" ht="17.25" customHeight="1" x14ac:dyDescent="0.25">
      <c r="A181" s="11">
        <v>45351</v>
      </c>
      <c r="B181" s="40" t="s">
        <v>556</v>
      </c>
      <c r="C181" s="41" t="s">
        <v>557</v>
      </c>
      <c r="D181" s="42" t="s">
        <v>46</v>
      </c>
      <c r="E181" s="42" t="s">
        <v>555</v>
      </c>
      <c r="F181" s="42" t="s">
        <v>558</v>
      </c>
      <c r="G181" s="43">
        <v>732000</v>
      </c>
      <c r="H181" s="43">
        <f t="shared" si="1"/>
        <v>80520</v>
      </c>
      <c r="I181" s="4"/>
      <c r="M181" s="5"/>
    </row>
    <row r="182" spans="1:13" ht="17.25" customHeight="1" x14ac:dyDescent="0.25">
      <c r="A182" s="11">
        <v>45351</v>
      </c>
      <c r="B182" s="40" t="s">
        <v>559</v>
      </c>
      <c r="C182" s="41" t="s">
        <v>560</v>
      </c>
      <c r="D182" s="42" t="s">
        <v>340</v>
      </c>
      <c r="E182" s="42" t="s">
        <v>356</v>
      </c>
      <c r="F182" s="42" t="s">
        <v>561</v>
      </c>
      <c r="G182" s="43">
        <v>6030416</v>
      </c>
      <c r="H182" s="43">
        <f>G182*11%-1</f>
        <v>663344.76</v>
      </c>
      <c r="I182" s="4"/>
      <c r="M182" s="5"/>
    </row>
    <row r="183" spans="1:13" ht="17.25" customHeight="1" x14ac:dyDescent="0.25">
      <c r="A183" s="11">
        <v>45351</v>
      </c>
      <c r="B183" s="40" t="s">
        <v>562</v>
      </c>
      <c r="C183" s="41" t="s">
        <v>563</v>
      </c>
      <c r="D183" s="42" t="s">
        <v>340</v>
      </c>
      <c r="E183" s="42" t="s">
        <v>564</v>
      </c>
      <c r="F183" s="42" t="s">
        <v>561</v>
      </c>
      <c r="G183" s="43">
        <v>220917750</v>
      </c>
      <c r="H183" s="43">
        <f>G183*11%-1</f>
        <v>24300951.5</v>
      </c>
      <c r="I183" s="4"/>
      <c r="M183" s="5"/>
    </row>
    <row r="184" spans="1:13" ht="17.25" customHeight="1" x14ac:dyDescent="0.25">
      <c r="A184" s="11">
        <v>45351</v>
      </c>
      <c r="B184" s="40" t="s">
        <v>565</v>
      </c>
      <c r="C184" s="41" t="s">
        <v>566</v>
      </c>
      <c r="D184" s="42" t="s">
        <v>340</v>
      </c>
      <c r="E184" s="42" t="s">
        <v>350</v>
      </c>
      <c r="F184" s="42" t="s">
        <v>561</v>
      </c>
      <c r="G184" s="43">
        <v>50056126</v>
      </c>
      <c r="H184" s="43">
        <f>G184*11%-1</f>
        <v>5506172.8600000003</v>
      </c>
      <c r="I184" s="4"/>
      <c r="M184" s="5"/>
    </row>
    <row r="185" spans="1:13" ht="17.25" customHeight="1" x14ac:dyDescent="0.25">
      <c r="A185" s="11">
        <v>45351</v>
      </c>
      <c r="B185" s="40" t="s">
        <v>567</v>
      </c>
      <c r="C185" s="41" t="s">
        <v>568</v>
      </c>
      <c r="D185" s="42" t="s">
        <v>340</v>
      </c>
      <c r="E185" s="42" t="s">
        <v>569</v>
      </c>
      <c r="F185" s="42" t="s">
        <v>561</v>
      </c>
      <c r="G185" s="43">
        <v>9162210</v>
      </c>
      <c r="H185" s="43">
        <f>G185*11%</f>
        <v>1007843.1</v>
      </c>
      <c r="I185" s="4"/>
      <c r="M185" s="5"/>
    </row>
    <row r="186" spans="1:13" ht="17.25" customHeight="1" x14ac:dyDescent="0.25">
      <c r="A186" s="11">
        <v>45352</v>
      </c>
      <c r="B186" s="40" t="s">
        <v>570</v>
      </c>
      <c r="C186" s="41" t="s">
        <v>571</v>
      </c>
      <c r="D186" s="42" t="s">
        <v>359</v>
      </c>
      <c r="E186" s="42" t="s">
        <v>159</v>
      </c>
      <c r="F186" s="42" t="s">
        <v>561</v>
      </c>
      <c r="G186" s="43">
        <v>1968250</v>
      </c>
      <c r="H186" s="43">
        <f>G186*11%-1</f>
        <v>216506.5</v>
      </c>
      <c r="I186" s="44"/>
      <c r="M186" s="5"/>
    </row>
    <row r="187" spans="1:13" ht="17.25" customHeight="1" x14ac:dyDescent="0.25">
      <c r="A187" s="11">
        <v>45352</v>
      </c>
      <c r="B187" s="40" t="s">
        <v>572</v>
      </c>
      <c r="C187" s="41" t="s">
        <v>573</v>
      </c>
      <c r="D187" s="42" t="s">
        <v>359</v>
      </c>
      <c r="E187" s="42" t="s">
        <v>165</v>
      </c>
      <c r="F187" s="42" t="s">
        <v>561</v>
      </c>
      <c r="G187" s="43">
        <v>571000</v>
      </c>
      <c r="H187" s="43">
        <f>G187*11%</f>
        <v>62810</v>
      </c>
      <c r="I187" s="45"/>
      <c r="M187" s="5"/>
    </row>
    <row r="188" spans="1:13" ht="17.25" customHeight="1" x14ac:dyDescent="0.25">
      <c r="A188" s="11">
        <v>45352</v>
      </c>
      <c r="B188" s="40" t="s">
        <v>574</v>
      </c>
      <c r="C188" s="41" t="s">
        <v>575</v>
      </c>
      <c r="D188" s="42" t="s">
        <v>359</v>
      </c>
      <c r="E188" s="42" t="s">
        <v>367</v>
      </c>
      <c r="F188" s="42" t="s">
        <v>561</v>
      </c>
      <c r="G188" s="43">
        <v>1660420</v>
      </c>
      <c r="H188" s="43">
        <f>G188*11%</f>
        <v>182646.2</v>
      </c>
      <c r="I188" s="45"/>
      <c r="M188" s="5"/>
    </row>
    <row r="189" spans="1:13" ht="17.25" customHeight="1" x14ac:dyDescent="0.25">
      <c r="A189" s="11">
        <v>45352</v>
      </c>
      <c r="B189" s="40" t="s">
        <v>576</v>
      </c>
      <c r="C189" s="41" t="s">
        <v>577</v>
      </c>
      <c r="D189" s="42" t="s">
        <v>15</v>
      </c>
      <c r="E189" s="42" t="s">
        <v>578</v>
      </c>
      <c r="F189" s="42" t="s">
        <v>579</v>
      </c>
      <c r="G189" s="43">
        <v>9117470</v>
      </c>
      <c r="H189" s="43">
        <f>G189*11%-1</f>
        <v>1002920.7</v>
      </c>
      <c r="I189" s="45"/>
      <c r="M189" s="5"/>
    </row>
    <row r="190" spans="1:13" ht="17.25" customHeight="1" x14ac:dyDescent="0.25">
      <c r="A190" s="11">
        <v>45352</v>
      </c>
      <c r="B190" s="40" t="s">
        <v>580</v>
      </c>
      <c r="C190" s="41" t="s">
        <v>581</v>
      </c>
      <c r="D190" s="42" t="s">
        <v>15</v>
      </c>
      <c r="E190" s="42" t="s">
        <v>578</v>
      </c>
      <c r="F190" s="42" t="s">
        <v>124</v>
      </c>
      <c r="G190" s="43">
        <v>16625500</v>
      </c>
      <c r="H190" s="43">
        <f>G190*11%</f>
        <v>1828805</v>
      </c>
      <c r="I190" s="44"/>
      <c r="M190" s="5"/>
    </row>
    <row r="191" spans="1:13" ht="17.25" customHeight="1" x14ac:dyDescent="0.25">
      <c r="A191" s="11">
        <v>45352</v>
      </c>
      <c r="B191" s="40" t="s">
        <v>582</v>
      </c>
      <c r="C191" s="41" t="s">
        <v>583</v>
      </c>
      <c r="D191" s="42" t="s">
        <v>15</v>
      </c>
      <c r="E191" s="42" t="s">
        <v>578</v>
      </c>
      <c r="F191" s="42" t="s">
        <v>341</v>
      </c>
      <c r="G191" s="43">
        <v>14733500</v>
      </c>
      <c r="H191" s="43">
        <f>G191*11%</f>
        <v>1620685</v>
      </c>
      <c r="I191" s="44"/>
      <c r="M191" s="5"/>
    </row>
    <row r="192" spans="1:13" ht="17.25" customHeight="1" x14ac:dyDescent="0.25">
      <c r="A192" s="11">
        <v>45355</v>
      </c>
      <c r="B192" s="40" t="s">
        <v>584</v>
      </c>
      <c r="C192" s="41" t="s">
        <v>585</v>
      </c>
      <c r="D192" s="42" t="s">
        <v>133</v>
      </c>
      <c r="E192" s="42" t="s">
        <v>134</v>
      </c>
      <c r="F192" s="42" t="s">
        <v>561</v>
      </c>
      <c r="G192" s="43">
        <v>37044613</v>
      </c>
      <c r="H192" s="43">
        <f>G192*11%</f>
        <v>4074907.43</v>
      </c>
      <c r="I192" s="44"/>
      <c r="M192" s="5"/>
    </row>
    <row r="193" spans="1:13" ht="17.25" customHeight="1" x14ac:dyDescent="0.25">
      <c r="A193" s="11">
        <v>45356</v>
      </c>
      <c r="B193" s="40" t="s">
        <v>586</v>
      </c>
      <c r="C193" s="41" t="s">
        <v>587</v>
      </c>
      <c r="D193" s="42" t="s">
        <v>15</v>
      </c>
      <c r="E193" s="42" t="s">
        <v>588</v>
      </c>
      <c r="F193" s="42" t="s">
        <v>17</v>
      </c>
      <c r="G193" s="43">
        <v>63798230</v>
      </c>
      <c r="H193" s="43">
        <f>G193*11%</f>
        <v>7017805.2999999998</v>
      </c>
      <c r="I193" s="44"/>
      <c r="M193" s="5"/>
    </row>
    <row r="194" spans="1:13" ht="17.25" customHeight="1" x14ac:dyDescent="0.25">
      <c r="A194" s="11">
        <v>45356</v>
      </c>
      <c r="B194" s="40" t="s">
        <v>589</v>
      </c>
      <c r="C194" s="41" t="s">
        <v>590</v>
      </c>
      <c r="D194" s="42" t="s">
        <v>15</v>
      </c>
      <c r="E194" s="42" t="s">
        <v>588</v>
      </c>
      <c r="F194" s="42" t="s">
        <v>124</v>
      </c>
      <c r="G194" s="43">
        <v>83240350</v>
      </c>
      <c r="H194" s="46">
        <f>G194*11%-1</f>
        <v>9156437.5</v>
      </c>
      <c r="I194" s="4"/>
      <c r="M194" s="5"/>
    </row>
    <row r="195" spans="1:13" ht="17.25" customHeight="1" x14ac:dyDescent="0.25">
      <c r="A195" s="11">
        <v>45356</v>
      </c>
      <c r="B195" s="40" t="s">
        <v>591</v>
      </c>
      <c r="C195" s="41" t="s">
        <v>592</v>
      </c>
      <c r="D195" s="42" t="s">
        <v>15</v>
      </c>
      <c r="E195" s="42" t="s">
        <v>588</v>
      </c>
      <c r="F195" s="42" t="s">
        <v>341</v>
      </c>
      <c r="G195" s="43">
        <v>86914810</v>
      </c>
      <c r="H195" s="43">
        <f t="shared" ref="H195:H200" si="2">G195*11%</f>
        <v>9560629.0999999996</v>
      </c>
      <c r="I195" s="4"/>
      <c r="M195" s="5"/>
    </row>
    <row r="196" spans="1:13" ht="17.25" customHeight="1" x14ac:dyDescent="0.25">
      <c r="A196" s="11">
        <v>45357</v>
      </c>
      <c r="B196" s="40" t="s">
        <v>593</v>
      </c>
      <c r="C196" s="41" t="s">
        <v>594</v>
      </c>
      <c r="D196" s="42" t="s">
        <v>15</v>
      </c>
      <c r="E196" s="42" t="s">
        <v>511</v>
      </c>
      <c r="F196" s="42" t="s">
        <v>22</v>
      </c>
      <c r="G196" s="43">
        <v>11343300</v>
      </c>
      <c r="H196" s="43">
        <f t="shared" si="2"/>
        <v>1247763</v>
      </c>
      <c r="I196" s="4"/>
      <c r="M196" s="5"/>
    </row>
    <row r="197" spans="1:13" ht="17.25" customHeight="1" x14ac:dyDescent="0.25">
      <c r="A197" s="11">
        <v>45357</v>
      </c>
      <c r="B197" s="40" t="s">
        <v>595</v>
      </c>
      <c r="C197" s="41" t="s">
        <v>596</v>
      </c>
      <c r="D197" s="42" t="s">
        <v>15</v>
      </c>
      <c r="E197" s="42" t="s">
        <v>511</v>
      </c>
      <c r="F197" s="42" t="s">
        <v>17</v>
      </c>
      <c r="G197" s="43">
        <v>19302000</v>
      </c>
      <c r="H197" s="43">
        <f t="shared" si="2"/>
        <v>2123220</v>
      </c>
      <c r="I197" s="4"/>
      <c r="M197" s="5"/>
    </row>
    <row r="198" spans="1:13" ht="17.25" customHeight="1" x14ac:dyDescent="0.25">
      <c r="A198" s="11">
        <v>45357</v>
      </c>
      <c r="B198" s="40" t="s">
        <v>597</v>
      </c>
      <c r="C198" s="41" t="s">
        <v>598</v>
      </c>
      <c r="D198" s="42" t="s">
        <v>15</v>
      </c>
      <c r="E198" s="42" t="s">
        <v>376</v>
      </c>
      <c r="F198" s="42" t="s">
        <v>599</v>
      </c>
      <c r="G198" s="43">
        <v>7400000</v>
      </c>
      <c r="H198" s="43">
        <f t="shared" si="2"/>
        <v>814000</v>
      </c>
      <c r="I198" s="4"/>
      <c r="M198" s="5"/>
    </row>
    <row r="199" spans="1:13" ht="17.25" customHeight="1" x14ac:dyDescent="0.25">
      <c r="A199" s="11">
        <v>45358</v>
      </c>
      <c r="B199" s="40" t="s">
        <v>600</v>
      </c>
      <c r="C199" s="41" t="s">
        <v>601</v>
      </c>
      <c r="D199" s="42" t="s">
        <v>15</v>
      </c>
      <c r="E199" s="42" t="s">
        <v>602</v>
      </c>
      <c r="F199" s="42" t="s">
        <v>603</v>
      </c>
      <c r="G199" s="43">
        <v>4982620</v>
      </c>
      <c r="H199" s="43">
        <f t="shared" si="2"/>
        <v>548088.19999999995</v>
      </c>
      <c r="I199" s="4"/>
      <c r="M199" s="5"/>
    </row>
    <row r="200" spans="1:13" ht="17.25" customHeight="1" x14ac:dyDescent="0.25">
      <c r="A200" s="11">
        <v>45358</v>
      </c>
      <c r="B200" s="40" t="s">
        <v>604</v>
      </c>
      <c r="C200" s="41" t="s">
        <v>605</v>
      </c>
      <c r="D200" s="42" t="s">
        <v>15</v>
      </c>
      <c r="E200" s="42" t="s">
        <v>606</v>
      </c>
      <c r="F200" s="42" t="s">
        <v>607</v>
      </c>
      <c r="G200" s="43">
        <v>8290440</v>
      </c>
      <c r="H200" s="43">
        <f t="shared" si="2"/>
        <v>911948.4</v>
      </c>
      <c r="I200" s="4"/>
      <c r="M200" s="5"/>
    </row>
    <row r="201" spans="1:13" ht="17.25" customHeight="1" x14ac:dyDescent="0.25">
      <c r="A201" s="11">
        <v>45358</v>
      </c>
      <c r="B201" s="40" t="s">
        <v>608</v>
      </c>
      <c r="C201" s="41" t="s">
        <v>609</v>
      </c>
      <c r="D201" s="42" t="s">
        <v>15</v>
      </c>
      <c r="E201" s="42" t="s">
        <v>606</v>
      </c>
      <c r="F201" s="42" t="s">
        <v>561</v>
      </c>
      <c r="G201" s="43">
        <v>9635050</v>
      </c>
      <c r="H201" s="43">
        <f>G201*11%-1</f>
        <v>1059854.5</v>
      </c>
      <c r="I201" s="4"/>
      <c r="M201" s="5"/>
    </row>
    <row r="202" spans="1:13" ht="17.25" customHeight="1" x14ac:dyDescent="0.25">
      <c r="A202" s="11">
        <v>45358</v>
      </c>
      <c r="B202" s="40" t="s">
        <v>610</v>
      </c>
      <c r="C202" s="41" t="s">
        <v>611</v>
      </c>
      <c r="D202" s="42" t="s">
        <v>15</v>
      </c>
      <c r="E202" s="42" t="s">
        <v>612</v>
      </c>
      <c r="F202" s="42" t="s">
        <v>613</v>
      </c>
      <c r="G202" s="43">
        <v>874800</v>
      </c>
      <c r="H202" s="43">
        <f>G202*11%</f>
        <v>96228</v>
      </c>
      <c r="I202" s="4"/>
      <c r="M202" s="5"/>
    </row>
    <row r="203" spans="1:13" ht="17.25" customHeight="1" x14ac:dyDescent="0.25">
      <c r="A203" s="11">
        <v>45358</v>
      </c>
      <c r="B203" s="40" t="s">
        <v>614</v>
      </c>
      <c r="C203" s="41" t="s">
        <v>615</v>
      </c>
      <c r="D203" s="42" t="s">
        <v>616</v>
      </c>
      <c r="E203" s="42" t="s">
        <v>617</v>
      </c>
      <c r="F203" s="42" t="s">
        <v>618</v>
      </c>
      <c r="G203" s="43">
        <v>400000</v>
      </c>
      <c r="H203" s="43">
        <f>G203*11%</f>
        <v>44000</v>
      </c>
      <c r="I203" s="4"/>
      <c r="M203" s="5"/>
    </row>
    <row r="204" spans="1:13" ht="17.25" customHeight="1" x14ac:dyDescent="0.25">
      <c r="A204" s="11">
        <v>45358</v>
      </c>
      <c r="B204" s="40" t="s">
        <v>619</v>
      </c>
      <c r="C204" s="41" t="s">
        <v>620</v>
      </c>
      <c r="D204" s="42" t="s">
        <v>616</v>
      </c>
      <c r="E204" s="42" t="s">
        <v>617</v>
      </c>
      <c r="F204" s="42" t="s">
        <v>621</v>
      </c>
      <c r="G204" s="43">
        <v>2179500</v>
      </c>
      <c r="H204" s="43">
        <f>G204*11%</f>
        <v>239745</v>
      </c>
      <c r="I204" s="4"/>
      <c r="M204" s="5"/>
    </row>
    <row r="205" spans="1:13" ht="17.25" customHeight="1" x14ac:dyDescent="0.25">
      <c r="A205" s="11">
        <v>45358</v>
      </c>
      <c r="B205" s="40" t="s">
        <v>622</v>
      </c>
      <c r="C205" s="41" t="s">
        <v>623</v>
      </c>
      <c r="D205" s="42" t="s">
        <v>616</v>
      </c>
      <c r="E205" s="42" t="s">
        <v>617</v>
      </c>
      <c r="F205" s="42" t="s">
        <v>624</v>
      </c>
      <c r="G205" s="43">
        <v>587250</v>
      </c>
      <c r="H205" s="43">
        <f>G205*11%-1</f>
        <v>64596.5</v>
      </c>
      <c r="I205" s="4"/>
      <c r="M205" s="5"/>
    </row>
    <row r="206" spans="1:13" ht="17.25" customHeight="1" x14ac:dyDescent="0.25">
      <c r="A206" s="11">
        <v>45359</v>
      </c>
      <c r="B206" s="40" t="s">
        <v>625</v>
      </c>
      <c r="C206" s="41" t="s">
        <v>626</v>
      </c>
      <c r="D206" s="42" t="s">
        <v>15</v>
      </c>
      <c r="E206" s="42" t="s">
        <v>627</v>
      </c>
      <c r="F206" s="42" t="s">
        <v>628</v>
      </c>
      <c r="G206" s="43">
        <v>184700000</v>
      </c>
      <c r="H206" s="43">
        <f t="shared" ref="H206:H213" si="3">G206*11%</f>
        <v>20317000</v>
      </c>
      <c r="I206" s="4"/>
      <c r="M206" s="5"/>
    </row>
    <row r="207" spans="1:13" ht="17.25" customHeight="1" x14ac:dyDescent="0.25">
      <c r="A207" s="11">
        <v>45359</v>
      </c>
      <c r="B207" s="40" t="s">
        <v>629</v>
      </c>
      <c r="C207" s="41" t="s">
        <v>630</v>
      </c>
      <c r="D207" s="42" t="s">
        <v>46</v>
      </c>
      <c r="E207" s="42" t="s">
        <v>57</v>
      </c>
      <c r="F207" s="42" t="s">
        <v>631</v>
      </c>
      <c r="G207" s="43">
        <v>20105500</v>
      </c>
      <c r="H207" s="43">
        <f t="shared" si="3"/>
        <v>2211605</v>
      </c>
      <c r="I207" s="4"/>
      <c r="M207" s="5"/>
    </row>
    <row r="208" spans="1:13" ht="17.25" customHeight="1" x14ac:dyDescent="0.25">
      <c r="A208" s="11">
        <v>45359</v>
      </c>
      <c r="B208" s="40" t="s">
        <v>632</v>
      </c>
      <c r="C208" s="41" t="s">
        <v>633</v>
      </c>
      <c r="D208" s="42" t="s">
        <v>46</v>
      </c>
      <c r="E208" s="42" t="s">
        <v>57</v>
      </c>
      <c r="F208" s="42" t="s">
        <v>634</v>
      </c>
      <c r="G208" s="43">
        <v>20105500</v>
      </c>
      <c r="H208" s="43">
        <f t="shared" si="3"/>
        <v>2211605</v>
      </c>
      <c r="I208" s="4"/>
      <c r="M208" s="5"/>
    </row>
    <row r="209" spans="1:13" ht="17.25" customHeight="1" x14ac:dyDescent="0.25">
      <c r="A209" s="11">
        <v>45359</v>
      </c>
      <c r="B209" s="40" t="s">
        <v>635</v>
      </c>
      <c r="C209" s="41" t="s">
        <v>636</v>
      </c>
      <c r="D209" s="42" t="s">
        <v>46</v>
      </c>
      <c r="E209" s="42" t="s">
        <v>57</v>
      </c>
      <c r="F209" s="42" t="s">
        <v>637</v>
      </c>
      <c r="G209" s="43">
        <v>8032000</v>
      </c>
      <c r="H209" s="43">
        <f t="shared" si="3"/>
        <v>883520</v>
      </c>
      <c r="I209" s="4"/>
      <c r="M209" s="5"/>
    </row>
    <row r="210" spans="1:13" ht="17.25" customHeight="1" x14ac:dyDescent="0.25">
      <c r="A210" s="11">
        <v>45359</v>
      </c>
      <c r="B210" s="40" t="s">
        <v>638</v>
      </c>
      <c r="C210" s="41" t="s">
        <v>639</v>
      </c>
      <c r="D210" s="42" t="s">
        <v>46</v>
      </c>
      <c r="E210" s="42" t="s">
        <v>57</v>
      </c>
      <c r="F210" s="42" t="s">
        <v>640</v>
      </c>
      <c r="G210" s="43">
        <v>6372000</v>
      </c>
      <c r="H210" s="43">
        <f t="shared" si="3"/>
        <v>700920</v>
      </c>
      <c r="I210" s="4"/>
      <c r="M210" s="5"/>
    </row>
    <row r="211" spans="1:13" ht="17.25" customHeight="1" x14ac:dyDescent="0.25">
      <c r="A211" s="11">
        <v>45359</v>
      </c>
      <c r="B211" s="40" t="s">
        <v>641</v>
      </c>
      <c r="C211" s="41" t="s">
        <v>642</v>
      </c>
      <c r="D211" s="42" t="s">
        <v>46</v>
      </c>
      <c r="E211" s="42" t="s">
        <v>57</v>
      </c>
      <c r="F211" s="42" t="s">
        <v>643</v>
      </c>
      <c r="G211" s="43">
        <v>6372000</v>
      </c>
      <c r="H211" s="43">
        <f t="shared" si="3"/>
        <v>700920</v>
      </c>
      <c r="I211" s="4"/>
      <c r="M211" s="5"/>
    </row>
    <row r="212" spans="1:13" ht="17.25" customHeight="1" x14ac:dyDescent="0.25">
      <c r="A212" s="11">
        <v>45359</v>
      </c>
      <c r="B212" s="40" t="s">
        <v>644</v>
      </c>
      <c r="C212" s="41" t="s">
        <v>645</v>
      </c>
      <c r="D212" s="42" t="s">
        <v>616</v>
      </c>
      <c r="E212" s="42" t="s">
        <v>423</v>
      </c>
      <c r="F212" s="42" t="s">
        <v>646</v>
      </c>
      <c r="G212" s="43">
        <v>805000</v>
      </c>
      <c r="H212" s="43">
        <f t="shared" si="3"/>
        <v>88550</v>
      </c>
      <c r="I212" s="4"/>
      <c r="M212" s="5"/>
    </row>
    <row r="213" spans="1:13" ht="17.25" customHeight="1" x14ac:dyDescent="0.25">
      <c r="A213" s="11">
        <v>45359</v>
      </c>
      <c r="B213" s="40" t="s">
        <v>647</v>
      </c>
      <c r="C213" s="41" t="s">
        <v>648</v>
      </c>
      <c r="D213" s="42" t="s">
        <v>616</v>
      </c>
      <c r="E213" s="42" t="s">
        <v>649</v>
      </c>
      <c r="F213" s="42" t="s">
        <v>650</v>
      </c>
      <c r="G213" s="43">
        <v>6225583</v>
      </c>
      <c r="H213" s="43">
        <f t="shared" si="3"/>
        <v>684814.13</v>
      </c>
      <c r="I213" s="4"/>
      <c r="M213" s="5"/>
    </row>
    <row r="214" spans="1:13" ht="17.25" customHeight="1" x14ac:dyDescent="0.25">
      <c r="A214" s="11">
        <v>45359</v>
      </c>
      <c r="B214" s="40" t="s">
        <v>651</v>
      </c>
      <c r="C214" s="41" t="s">
        <v>652</v>
      </c>
      <c r="D214" s="42" t="s">
        <v>616</v>
      </c>
      <c r="E214" s="42" t="s">
        <v>649</v>
      </c>
      <c r="F214" s="42" t="s">
        <v>653</v>
      </c>
      <c r="G214" s="43">
        <v>7519290</v>
      </c>
      <c r="H214" s="43">
        <f>G214*11%-1</f>
        <v>827120.9</v>
      </c>
      <c r="I214" s="4"/>
      <c r="M214" s="5"/>
    </row>
    <row r="215" spans="1:13" ht="17.25" customHeight="1" x14ac:dyDescent="0.25">
      <c r="A215" s="47">
        <v>45359</v>
      </c>
      <c r="B215" s="40" t="s">
        <v>654</v>
      </c>
      <c r="C215" s="41" t="s">
        <v>655</v>
      </c>
      <c r="D215" s="42" t="s">
        <v>15</v>
      </c>
      <c r="E215" s="42" t="s">
        <v>606</v>
      </c>
      <c r="F215" s="42" t="s">
        <v>656</v>
      </c>
      <c r="G215" s="43">
        <v>1896710</v>
      </c>
      <c r="H215" s="43">
        <f>G215*11%</f>
        <v>208638.1</v>
      </c>
      <c r="I215" s="4"/>
      <c r="M215" s="5"/>
    </row>
    <row r="216" spans="1:13" ht="17.25" customHeight="1" x14ac:dyDescent="0.25">
      <c r="A216" s="11">
        <v>45360</v>
      </c>
      <c r="B216" s="40" t="s">
        <v>657</v>
      </c>
      <c r="C216" s="41" t="s">
        <v>658</v>
      </c>
      <c r="D216" s="42" t="s">
        <v>15</v>
      </c>
      <c r="E216" s="42" t="s">
        <v>612</v>
      </c>
      <c r="F216" s="42" t="s">
        <v>17</v>
      </c>
      <c r="G216" s="43">
        <v>1982100</v>
      </c>
      <c r="H216" s="43">
        <f>G216*11%</f>
        <v>218031</v>
      </c>
      <c r="I216" s="4"/>
      <c r="M216" s="5"/>
    </row>
    <row r="217" spans="1:13" ht="17.25" customHeight="1" x14ac:dyDescent="0.25">
      <c r="A217" s="11">
        <v>45360</v>
      </c>
      <c r="B217" s="40" t="s">
        <v>659</v>
      </c>
      <c r="C217" s="41" t="s">
        <v>660</v>
      </c>
      <c r="D217" s="42" t="s">
        <v>15</v>
      </c>
      <c r="E217" s="42" t="s">
        <v>612</v>
      </c>
      <c r="F217" s="42" t="s">
        <v>124</v>
      </c>
      <c r="G217" s="43">
        <v>7949500</v>
      </c>
      <c r="H217" s="43">
        <f>G217*11%</f>
        <v>874445</v>
      </c>
      <c r="I217" s="4"/>
      <c r="M217" s="5"/>
    </row>
    <row r="218" spans="1:13" ht="17.25" customHeight="1" x14ac:dyDescent="0.25">
      <c r="A218" s="11">
        <v>45360</v>
      </c>
      <c r="B218" s="40" t="s">
        <v>661</v>
      </c>
      <c r="C218" s="41" t="s">
        <v>662</v>
      </c>
      <c r="D218" s="42" t="s">
        <v>15</v>
      </c>
      <c r="E218" s="42" t="s">
        <v>612</v>
      </c>
      <c r="F218" s="42" t="s">
        <v>341</v>
      </c>
      <c r="G218" s="43">
        <v>14739000</v>
      </c>
      <c r="H218" s="43">
        <f>G218*11%</f>
        <v>1621290</v>
      </c>
      <c r="I218" s="4"/>
      <c r="M218" s="5"/>
    </row>
    <row r="219" spans="1:13" ht="17.25" customHeight="1" x14ac:dyDescent="0.25">
      <c r="A219" s="11">
        <v>45360</v>
      </c>
      <c r="B219" s="40" t="s">
        <v>663</v>
      </c>
      <c r="C219" s="41" t="s">
        <v>664</v>
      </c>
      <c r="D219" s="42" t="s">
        <v>15</v>
      </c>
      <c r="E219" s="42" t="s">
        <v>665</v>
      </c>
      <c r="F219" s="42" t="s">
        <v>17</v>
      </c>
      <c r="G219" s="43">
        <v>190181745</v>
      </c>
      <c r="H219" s="43">
        <f>G219*11%</f>
        <v>20919991.949999999</v>
      </c>
      <c r="I219" s="4"/>
      <c r="M219" s="5"/>
    </row>
    <row r="220" spans="1:13" ht="17.25" customHeight="1" x14ac:dyDescent="0.25">
      <c r="A220" s="11">
        <v>45360</v>
      </c>
      <c r="B220" s="40" t="s">
        <v>666</v>
      </c>
      <c r="C220" s="41" t="s">
        <v>667</v>
      </c>
      <c r="D220" s="42" t="s">
        <v>15</v>
      </c>
      <c r="E220" s="42" t="s">
        <v>665</v>
      </c>
      <c r="F220" s="42" t="s">
        <v>124</v>
      </c>
      <c r="G220" s="43">
        <v>167648280</v>
      </c>
      <c r="H220" s="43">
        <f>G220*11%-1</f>
        <v>18441309.800000001</v>
      </c>
      <c r="I220" s="4"/>
      <c r="M220" s="5"/>
    </row>
    <row r="221" spans="1:13" ht="17.25" customHeight="1" x14ac:dyDescent="0.25">
      <c r="A221" s="11">
        <v>45360</v>
      </c>
      <c r="B221" s="40" t="s">
        <v>668</v>
      </c>
      <c r="C221" s="41" t="s">
        <v>669</v>
      </c>
      <c r="D221" s="42" t="s">
        <v>15</v>
      </c>
      <c r="E221" s="42" t="s">
        <v>665</v>
      </c>
      <c r="F221" s="42" t="s">
        <v>341</v>
      </c>
      <c r="G221" s="43">
        <v>114624210</v>
      </c>
      <c r="H221" s="43">
        <f>G221*11%</f>
        <v>12608663.1</v>
      </c>
      <c r="I221" s="4"/>
      <c r="M221" s="5"/>
    </row>
    <row r="222" spans="1:13" ht="17.25" customHeight="1" x14ac:dyDescent="0.25">
      <c r="A222" s="11">
        <v>45360</v>
      </c>
      <c r="B222" s="40" t="s">
        <v>670</v>
      </c>
      <c r="C222" s="41" t="s">
        <v>671</v>
      </c>
      <c r="D222" s="42" t="s">
        <v>15</v>
      </c>
      <c r="E222" s="42" t="s">
        <v>665</v>
      </c>
      <c r="F222" s="42" t="s">
        <v>561</v>
      </c>
      <c r="G222" s="43">
        <v>74220060</v>
      </c>
      <c r="H222" s="43">
        <f>G222*11%-1</f>
        <v>8164205.5999999996</v>
      </c>
      <c r="I222" s="4"/>
      <c r="M222" s="5"/>
    </row>
    <row r="223" spans="1:13" ht="17.25" customHeight="1" x14ac:dyDescent="0.2">
      <c r="A223" s="1"/>
      <c r="C223" s="3"/>
      <c r="G223" s="3"/>
      <c r="H223" s="3"/>
      <c r="I223" s="4"/>
      <c r="M223" s="5"/>
    </row>
    <row r="224" spans="1:13" ht="17.25" customHeight="1" x14ac:dyDescent="0.25">
      <c r="A224" s="11">
        <v>45365</v>
      </c>
      <c r="B224" s="40" t="s">
        <v>672</v>
      </c>
      <c r="C224" s="41" t="s">
        <v>673</v>
      </c>
      <c r="D224" s="42" t="s">
        <v>359</v>
      </c>
      <c r="E224" s="42" t="s">
        <v>364</v>
      </c>
      <c r="F224" s="42" t="s">
        <v>674</v>
      </c>
      <c r="G224" s="43">
        <v>2600000</v>
      </c>
      <c r="H224" s="43">
        <f>G224*11%</f>
        <v>286000</v>
      </c>
      <c r="I224" s="4"/>
      <c r="M224" s="5"/>
    </row>
    <row r="225" spans="1:13" ht="17.25" customHeight="1" x14ac:dyDescent="0.25">
      <c r="A225" s="11">
        <v>45365</v>
      </c>
      <c r="B225" s="40" t="s">
        <v>675</v>
      </c>
      <c r="C225" s="41" t="s">
        <v>676</v>
      </c>
      <c r="D225" s="42" t="s">
        <v>359</v>
      </c>
      <c r="E225" s="42" t="s">
        <v>364</v>
      </c>
      <c r="F225" s="42" t="s">
        <v>561</v>
      </c>
      <c r="G225" s="43">
        <v>5208870</v>
      </c>
      <c r="H225" s="43">
        <f>G225*11%-1</f>
        <v>572974.69999999995</v>
      </c>
      <c r="I225" s="4"/>
      <c r="M225" s="5"/>
    </row>
    <row r="226" spans="1:13" ht="17.25" customHeight="1" x14ac:dyDescent="0.25">
      <c r="A226" s="11">
        <v>45365</v>
      </c>
      <c r="B226" s="40" t="s">
        <v>677</v>
      </c>
      <c r="C226" s="41" t="s">
        <v>678</v>
      </c>
      <c r="D226" s="42" t="s">
        <v>137</v>
      </c>
      <c r="E226" s="42" t="s">
        <v>138</v>
      </c>
      <c r="F226" s="42" t="s">
        <v>561</v>
      </c>
      <c r="G226" s="43">
        <v>25560</v>
      </c>
      <c r="H226" s="43">
        <f>G226*11%-1</f>
        <v>2810.6</v>
      </c>
      <c r="I226" s="4"/>
      <c r="M226" s="5"/>
    </row>
    <row r="227" spans="1:13" ht="17.25" customHeight="1" x14ac:dyDescent="0.25">
      <c r="A227" s="11">
        <v>45365</v>
      </c>
      <c r="B227" s="40" t="s">
        <v>679</v>
      </c>
      <c r="C227" s="41" t="s">
        <v>680</v>
      </c>
      <c r="D227" s="42" t="s">
        <v>137</v>
      </c>
      <c r="E227" s="42" t="s">
        <v>494</v>
      </c>
      <c r="F227" s="42" t="s">
        <v>561</v>
      </c>
      <c r="G227" s="43">
        <v>191440</v>
      </c>
      <c r="H227" s="43">
        <f>G227*11%</f>
        <v>21058.400000000001</v>
      </c>
      <c r="I227" s="4"/>
      <c r="M227" s="5"/>
    </row>
    <row r="228" spans="1:13" ht="17.25" customHeight="1" x14ac:dyDescent="0.25">
      <c r="A228" s="11">
        <v>45365</v>
      </c>
      <c r="B228" s="40" t="s">
        <v>681</v>
      </c>
      <c r="C228" s="41" t="s">
        <v>682</v>
      </c>
      <c r="D228" s="42" t="s">
        <v>328</v>
      </c>
      <c r="E228" s="42" t="s">
        <v>500</v>
      </c>
      <c r="F228" s="42" t="s">
        <v>561</v>
      </c>
      <c r="G228" s="43">
        <v>8198667</v>
      </c>
      <c r="H228" s="43">
        <f>G228*11%</f>
        <v>901853.37</v>
      </c>
      <c r="I228" s="4"/>
      <c r="M228" s="5"/>
    </row>
    <row r="229" spans="1:13" ht="17.25" customHeight="1" x14ac:dyDescent="0.25">
      <c r="A229" s="11">
        <v>45365</v>
      </c>
      <c r="B229" s="40" t="s">
        <v>683</v>
      </c>
      <c r="C229" s="41" t="s">
        <v>684</v>
      </c>
      <c r="D229" s="42" t="s">
        <v>328</v>
      </c>
      <c r="E229" s="42" t="s">
        <v>503</v>
      </c>
      <c r="F229" s="42" t="s">
        <v>561</v>
      </c>
      <c r="G229" s="43">
        <v>1486833</v>
      </c>
      <c r="H229" s="43">
        <f>G229*11%-1</f>
        <v>163550.63</v>
      </c>
      <c r="I229" s="4"/>
      <c r="M229" s="5"/>
    </row>
    <row r="230" spans="1:13" ht="17.25" customHeight="1" x14ac:dyDescent="0.25">
      <c r="A230" s="11">
        <v>45365</v>
      </c>
      <c r="B230" s="40" t="s">
        <v>685</v>
      </c>
      <c r="C230" s="41" t="s">
        <v>686</v>
      </c>
      <c r="D230" s="42" t="s">
        <v>15</v>
      </c>
      <c r="E230" s="42" t="s">
        <v>383</v>
      </c>
      <c r="F230" s="42" t="s">
        <v>561</v>
      </c>
      <c r="G230" s="43">
        <v>64719700</v>
      </c>
      <c r="H230" s="43">
        <f>G230*11%</f>
        <v>7119167</v>
      </c>
      <c r="I230" s="4"/>
      <c r="M230" s="5"/>
    </row>
    <row r="231" spans="1:13" ht="17.25" customHeight="1" x14ac:dyDescent="0.25">
      <c r="A231" s="11"/>
      <c r="B231" s="40"/>
      <c r="C231" s="41"/>
      <c r="D231" s="42"/>
      <c r="E231" s="42"/>
      <c r="F231" s="42"/>
      <c r="G231" s="43"/>
      <c r="H231" s="43"/>
      <c r="I231" s="4"/>
      <c r="M231" s="5"/>
    </row>
    <row r="232" spans="1:13" ht="17.25" customHeight="1" x14ac:dyDescent="0.25">
      <c r="A232" s="11">
        <v>45370</v>
      </c>
      <c r="B232" s="40" t="s">
        <v>687</v>
      </c>
      <c r="C232" s="41" t="s">
        <v>688</v>
      </c>
      <c r="D232" s="42" t="s">
        <v>33</v>
      </c>
      <c r="E232" s="42" t="s">
        <v>689</v>
      </c>
      <c r="F232" s="42" t="s">
        <v>17</v>
      </c>
      <c r="G232" s="43">
        <v>248500</v>
      </c>
      <c r="H232" s="43">
        <f>G232*11%</f>
        <v>27335</v>
      </c>
      <c r="I232" s="4"/>
      <c r="M232" s="5"/>
    </row>
    <row r="233" spans="1:13" ht="17.25" customHeight="1" x14ac:dyDescent="0.25">
      <c r="A233" s="11">
        <v>45370</v>
      </c>
      <c r="B233" s="40" t="s">
        <v>690</v>
      </c>
      <c r="C233" s="41" t="s">
        <v>691</v>
      </c>
      <c r="D233" s="42" t="s">
        <v>33</v>
      </c>
      <c r="E233" s="42" t="s">
        <v>692</v>
      </c>
      <c r="F233" s="42" t="s">
        <v>124</v>
      </c>
      <c r="G233" s="43">
        <v>256783</v>
      </c>
      <c r="H233" s="43">
        <f>G233*11%</f>
        <v>28246.13</v>
      </c>
      <c r="I233" s="4"/>
      <c r="M233" s="5"/>
    </row>
    <row r="234" spans="1:13" ht="17.25" customHeight="1" x14ac:dyDescent="0.2">
      <c r="A234" s="1"/>
      <c r="C234" s="3"/>
      <c r="G234" s="3"/>
      <c r="H234" s="3"/>
      <c r="I234" s="4"/>
      <c r="M234" s="5"/>
    </row>
    <row r="235" spans="1:13" ht="17.25" customHeight="1" x14ac:dyDescent="0.25">
      <c r="A235" s="11">
        <v>45370</v>
      </c>
      <c r="B235" s="40" t="s">
        <v>693</v>
      </c>
      <c r="C235" s="41" t="s">
        <v>694</v>
      </c>
      <c r="D235" s="42" t="s">
        <v>33</v>
      </c>
      <c r="E235" s="42" t="s">
        <v>695</v>
      </c>
      <c r="F235" s="42" t="s">
        <v>17</v>
      </c>
      <c r="G235" s="43">
        <v>273000</v>
      </c>
      <c r="H235" s="43">
        <f>G235*11%</f>
        <v>30030</v>
      </c>
      <c r="I235" s="4"/>
      <c r="M235" s="5"/>
    </row>
    <row r="236" spans="1:13" ht="17.25" customHeight="1" x14ac:dyDescent="0.25">
      <c r="A236" s="11">
        <v>45370</v>
      </c>
      <c r="B236" s="40" t="s">
        <v>696</v>
      </c>
      <c r="C236" s="41" t="s">
        <v>697</v>
      </c>
      <c r="D236" s="42" t="s">
        <v>33</v>
      </c>
      <c r="E236" s="42" t="s">
        <v>698</v>
      </c>
      <c r="F236" s="42" t="s">
        <v>124</v>
      </c>
      <c r="G236" s="43">
        <v>272300</v>
      </c>
      <c r="H236" s="43">
        <f>G236*11%</f>
        <v>29953</v>
      </c>
      <c r="I236" s="4"/>
      <c r="M236" s="5"/>
    </row>
    <row r="237" spans="1:13" ht="17.25" customHeight="1" x14ac:dyDescent="0.2">
      <c r="A237" s="1"/>
      <c r="C237" s="3"/>
      <c r="G237" s="3"/>
      <c r="H237" s="3"/>
      <c r="I237" s="4"/>
      <c r="M237" s="5"/>
    </row>
    <row r="238" spans="1:13" ht="17.25" customHeight="1" x14ac:dyDescent="0.25">
      <c r="A238" s="11">
        <v>45370</v>
      </c>
      <c r="B238" s="40" t="s">
        <v>699</v>
      </c>
      <c r="C238" s="41" t="s">
        <v>700</v>
      </c>
      <c r="D238" s="42" t="s">
        <v>33</v>
      </c>
      <c r="E238" s="42" t="s">
        <v>701</v>
      </c>
      <c r="F238" s="42" t="s">
        <v>17</v>
      </c>
      <c r="G238" s="43">
        <v>296000</v>
      </c>
      <c r="H238" s="43">
        <f>G238*11%</f>
        <v>32560</v>
      </c>
      <c r="I238" s="4"/>
      <c r="M238" s="5"/>
    </row>
    <row r="239" spans="1:13" ht="17.25" customHeight="1" x14ac:dyDescent="0.25">
      <c r="A239" s="11">
        <v>45370</v>
      </c>
      <c r="B239" s="40" t="s">
        <v>702</v>
      </c>
      <c r="C239" s="41" t="s">
        <v>703</v>
      </c>
      <c r="D239" s="42" t="s">
        <v>33</v>
      </c>
      <c r="E239" s="42" t="s">
        <v>704</v>
      </c>
      <c r="F239" s="42" t="s">
        <v>124</v>
      </c>
      <c r="G239" s="43">
        <v>305867</v>
      </c>
      <c r="H239" s="43">
        <f>G239*11%</f>
        <v>33645.370000000003</v>
      </c>
      <c r="I239" s="4"/>
      <c r="M239" s="5"/>
    </row>
    <row r="240" spans="1:13" ht="17.25" customHeight="1" x14ac:dyDescent="0.25">
      <c r="A240" s="11">
        <v>45370</v>
      </c>
      <c r="B240" s="40" t="s">
        <v>705</v>
      </c>
      <c r="C240" s="41" t="s">
        <v>706</v>
      </c>
      <c r="D240" s="42" t="s">
        <v>33</v>
      </c>
      <c r="E240" s="42" t="s">
        <v>707</v>
      </c>
      <c r="F240" s="42" t="s">
        <v>341</v>
      </c>
      <c r="G240" s="43">
        <v>262667</v>
      </c>
      <c r="H240" s="43">
        <f>G240*11%</f>
        <v>28893.37</v>
      </c>
      <c r="I240" s="4"/>
      <c r="M240" s="5"/>
    </row>
    <row r="241" spans="1:13" ht="17.25" customHeight="1" x14ac:dyDescent="0.25">
      <c r="A241" s="11">
        <v>45370</v>
      </c>
      <c r="B241" s="40" t="s">
        <v>708</v>
      </c>
      <c r="C241" s="41" t="s">
        <v>709</v>
      </c>
      <c r="D241" s="42" t="s">
        <v>33</v>
      </c>
      <c r="E241" s="42" t="s">
        <v>710</v>
      </c>
      <c r="F241" s="42" t="s">
        <v>17</v>
      </c>
      <c r="G241" s="43">
        <v>73500</v>
      </c>
      <c r="H241" s="43">
        <f>G241*11%</f>
        <v>8085</v>
      </c>
      <c r="I241" s="4"/>
      <c r="M241" s="5"/>
    </row>
    <row r="242" spans="1:13" ht="17.25" customHeight="1" x14ac:dyDescent="0.2">
      <c r="A242" s="1"/>
      <c r="C242" s="3"/>
      <c r="G242" s="3"/>
      <c r="H242" s="3"/>
      <c r="I242" s="4"/>
      <c r="M242" s="5"/>
    </row>
    <row r="243" spans="1:13" ht="17.25" customHeight="1" x14ac:dyDescent="0.25">
      <c r="A243" s="48">
        <v>45370</v>
      </c>
      <c r="B243" s="49" t="s">
        <v>711</v>
      </c>
      <c r="C243" s="50" t="s">
        <v>712</v>
      </c>
      <c r="D243" s="22" t="s">
        <v>33</v>
      </c>
      <c r="E243" s="22" t="s">
        <v>713</v>
      </c>
      <c r="F243" s="22" t="s">
        <v>341</v>
      </c>
      <c r="G243" s="24">
        <v>256783</v>
      </c>
      <c r="H243" s="24">
        <f>G243*11%</f>
        <v>28246.13</v>
      </c>
      <c r="I243" s="4"/>
      <c r="M243" s="5"/>
    </row>
    <row r="244" spans="1:13" ht="17.25" customHeight="1" x14ac:dyDescent="0.25">
      <c r="A244" s="48">
        <v>45370</v>
      </c>
      <c r="B244" s="49" t="s">
        <v>715</v>
      </c>
      <c r="C244" s="50" t="s">
        <v>716</v>
      </c>
      <c r="D244" s="22" t="s">
        <v>33</v>
      </c>
      <c r="E244" s="22" t="s">
        <v>717</v>
      </c>
      <c r="F244" s="22" t="s">
        <v>341</v>
      </c>
      <c r="G244" s="24">
        <v>206150</v>
      </c>
      <c r="H244" s="24">
        <f>G244*11%-1</f>
        <v>22675.5</v>
      </c>
      <c r="I244" s="4"/>
      <c r="M244" s="5"/>
    </row>
    <row r="245" spans="1:13" ht="17.25" customHeight="1" x14ac:dyDescent="0.25">
      <c r="A245" s="48">
        <v>45370</v>
      </c>
      <c r="B245" s="49" t="s">
        <v>718</v>
      </c>
      <c r="C245" s="50" t="s">
        <v>719</v>
      </c>
      <c r="D245" s="22" t="s">
        <v>33</v>
      </c>
      <c r="E245" s="22" t="s">
        <v>720</v>
      </c>
      <c r="F245" s="22" t="s">
        <v>124</v>
      </c>
      <c r="G245" s="24">
        <v>54483</v>
      </c>
      <c r="H245" s="24">
        <f>G245*11%</f>
        <v>5993.13</v>
      </c>
      <c r="I245" s="4"/>
      <c r="M245" s="5"/>
    </row>
    <row r="246" spans="1:13" ht="17.25" customHeight="1" x14ac:dyDescent="0.25">
      <c r="A246" s="11"/>
      <c r="B246" s="40"/>
      <c r="C246" s="41"/>
      <c r="D246" s="42"/>
      <c r="E246" s="42"/>
      <c r="F246" s="42"/>
      <c r="G246" s="43"/>
      <c r="H246" s="43"/>
      <c r="I246" s="4"/>
      <c r="M246" s="5"/>
    </row>
    <row r="247" spans="1:13" ht="17.25" customHeight="1" x14ac:dyDescent="0.25">
      <c r="A247" s="11">
        <v>45370</v>
      </c>
      <c r="B247" s="40" t="s">
        <v>721</v>
      </c>
      <c r="C247" s="41" t="s">
        <v>722</v>
      </c>
      <c r="D247" s="42" t="s">
        <v>33</v>
      </c>
      <c r="E247" s="42" t="s">
        <v>723</v>
      </c>
      <c r="F247" s="42" t="s">
        <v>17</v>
      </c>
      <c r="G247" s="43">
        <v>1261000</v>
      </c>
      <c r="H247" s="43">
        <f>G247*11%</f>
        <v>138710</v>
      </c>
      <c r="I247" s="4"/>
      <c r="M247" s="5"/>
    </row>
    <row r="248" spans="1:13" ht="17.25" customHeight="1" x14ac:dyDescent="0.25">
      <c r="A248" s="11">
        <v>45370</v>
      </c>
      <c r="B248" s="40" t="s">
        <v>724</v>
      </c>
      <c r="C248" s="41" t="s">
        <v>725</v>
      </c>
      <c r="D248" s="42" t="s">
        <v>33</v>
      </c>
      <c r="E248" s="42" t="s">
        <v>726</v>
      </c>
      <c r="F248" s="42" t="s">
        <v>124</v>
      </c>
      <c r="G248" s="43">
        <v>1184900</v>
      </c>
      <c r="H248" s="43">
        <f>G248*11%</f>
        <v>130339</v>
      </c>
      <c r="I248" s="4"/>
      <c r="M248" s="5"/>
    </row>
    <row r="249" spans="1:13" ht="17.25" customHeight="1" x14ac:dyDescent="0.25">
      <c r="A249" s="11">
        <v>45370</v>
      </c>
      <c r="B249" s="40" t="s">
        <v>727</v>
      </c>
      <c r="C249" s="41" t="s">
        <v>728</v>
      </c>
      <c r="D249" s="42" t="s">
        <v>33</v>
      </c>
      <c r="E249" s="42" t="s">
        <v>729</v>
      </c>
      <c r="F249" s="42" t="s">
        <v>341</v>
      </c>
      <c r="G249" s="43">
        <v>403250</v>
      </c>
      <c r="H249" s="43">
        <f>G249*11%-1</f>
        <v>44356.5</v>
      </c>
      <c r="I249" s="51" t="s">
        <v>714</v>
      </c>
      <c r="J249" s="52"/>
      <c r="M249" s="5"/>
    </row>
    <row r="250" spans="1:13" ht="17.25" customHeight="1" x14ac:dyDescent="0.25">
      <c r="A250" s="11">
        <v>45371</v>
      </c>
      <c r="B250" s="40" t="s">
        <v>730</v>
      </c>
      <c r="C250" s="41" t="s">
        <v>731</v>
      </c>
      <c r="D250" s="42" t="s">
        <v>15</v>
      </c>
      <c r="E250" s="42" t="s">
        <v>249</v>
      </c>
      <c r="F250" s="42" t="s">
        <v>341</v>
      </c>
      <c r="G250" s="43">
        <v>28623460</v>
      </c>
      <c r="H250" s="43">
        <f>G250*11%</f>
        <v>3148580.6</v>
      </c>
      <c r="I250" s="51"/>
      <c r="J250" s="52"/>
      <c r="M250" s="5"/>
    </row>
    <row r="251" spans="1:13" ht="17.25" customHeight="1" x14ac:dyDescent="0.25">
      <c r="A251" s="11">
        <v>45371</v>
      </c>
      <c r="B251" s="40" t="s">
        <v>732</v>
      </c>
      <c r="C251" s="41" t="s">
        <v>733</v>
      </c>
      <c r="D251" s="42" t="s">
        <v>15</v>
      </c>
      <c r="E251" s="42" t="s">
        <v>249</v>
      </c>
      <c r="F251" s="42" t="s">
        <v>561</v>
      </c>
      <c r="G251" s="43">
        <v>18373380</v>
      </c>
      <c r="H251" s="43">
        <f>G251*11%-1</f>
        <v>2021070.8</v>
      </c>
      <c r="I251" s="51"/>
      <c r="J251" s="52"/>
      <c r="M251" s="5"/>
    </row>
    <row r="252" spans="1:13" ht="17.25" customHeight="1" x14ac:dyDescent="0.25">
      <c r="A252" s="11">
        <v>45371</v>
      </c>
      <c r="B252" s="40" t="s">
        <v>734</v>
      </c>
      <c r="C252" s="41" t="s">
        <v>735</v>
      </c>
      <c r="D252" s="42" t="s">
        <v>46</v>
      </c>
      <c r="E252" s="42" t="s">
        <v>736</v>
      </c>
      <c r="F252" s="42" t="s">
        <v>737</v>
      </c>
      <c r="G252" s="43">
        <v>1423300</v>
      </c>
      <c r="H252" s="43">
        <f t="shared" ref="H252:H258" si="4">G252*11%</f>
        <v>156563</v>
      </c>
      <c r="I252" s="4"/>
      <c r="K252" s="52"/>
      <c r="M252" s="5"/>
    </row>
    <row r="253" spans="1:13" ht="17.25" customHeight="1" x14ac:dyDescent="0.25">
      <c r="A253" s="11">
        <v>45371</v>
      </c>
      <c r="B253" s="40" t="s">
        <v>738</v>
      </c>
      <c r="C253" s="41" t="s">
        <v>739</v>
      </c>
      <c r="D253" s="42" t="s">
        <v>15</v>
      </c>
      <c r="E253" s="42" t="s">
        <v>532</v>
      </c>
      <c r="F253" s="42" t="s">
        <v>72</v>
      </c>
      <c r="G253" s="43">
        <v>7812500</v>
      </c>
      <c r="H253" s="43">
        <f t="shared" si="4"/>
        <v>859375</v>
      </c>
      <c r="I253" s="4"/>
      <c r="K253" s="52"/>
      <c r="M253" s="5"/>
    </row>
    <row r="254" spans="1:13" ht="17.25" customHeight="1" x14ac:dyDescent="0.25">
      <c r="A254" s="11">
        <v>45372</v>
      </c>
      <c r="B254" s="40" t="s">
        <v>740</v>
      </c>
      <c r="C254" s="41" t="s">
        <v>741</v>
      </c>
      <c r="D254" s="42" t="s">
        <v>15</v>
      </c>
      <c r="E254" s="42" t="s">
        <v>16</v>
      </c>
      <c r="F254" s="42" t="s">
        <v>341</v>
      </c>
      <c r="G254" s="43">
        <v>557914110</v>
      </c>
      <c r="H254" s="43">
        <f t="shared" si="4"/>
        <v>61370552.100000001</v>
      </c>
      <c r="I254" s="4"/>
      <c r="K254" s="52"/>
      <c r="M254" s="5"/>
    </row>
    <row r="255" spans="1:13" ht="17.25" customHeight="1" x14ac:dyDescent="0.25">
      <c r="A255" s="11">
        <v>45373</v>
      </c>
      <c r="B255" s="40" t="s">
        <v>742</v>
      </c>
      <c r="C255" s="41" t="s">
        <v>743</v>
      </c>
      <c r="D255" s="42" t="s">
        <v>15</v>
      </c>
      <c r="E255" s="42" t="s">
        <v>744</v>
      </c>
      <c r="F255" s="42" t="s">
        <v>43</v>
      </c>
      <c r="G255" s="43">
        <v>279000</v>
      </c>
      <c r="H255" s="43">
        <f t="shared" si="4"/>
        <v>30690</v>
      </c>
      <c r="I255" s="4"/>
      <c r="M255" s="5"/>
    </row>
    <row r="256" spans="1:13" ht="17.25" customHeight="1" x14ac:dyDescent="0.25">
      <c r="A256" s="11">
        <v>45373</v>
      </c>
      <c r="B256" s="40" t="s">
        <v>745</v>
      </c>
      <c r="C256" s="41" t="s">
        <v>746</v>
      </c>
      <c r="D256" s="42" t="s">
        <v>46</v>
      </c>
      <c r="E256" s="42" t="s">
        <v>747</v>
      </c>
      <c r="F256" s="42" t="s">
        <v>748</v>
      </c>
      <c r="G256" s="43">
        <v>52581639</v>
      </c>
      <c r="H256" s="43">
        <f t="shared" si="4"/>
        <v>5783980.29</v>
      </c>
      <c r="I256" s="4"/>
      <c r="M256" s="5"/>
    </row>
    <row r="257" spans="1:13" ht="17.25" customHeight="1" x14ac:dyDescent="0.25">
      <c r="A257" s="11">
        <v>45373</v>
      </c>
      <c r="B257" s="40" t="s">
        <v>749</v>
      </c>
      <c r="C257" s="41" t="s">
        <v>750</v>
      </c>
      <c r="D257" s="42" t="s">
        <v>46</v>
      </c>
      <c r="E257" s="42" t="s">
        <v>747</v>
      </c>
      <c r="F257" s="42" t="s">
        <v>751</v>
      </c>
      <c r="G257" s="43">
        <v>7004840</v>
      </c>
      <c r="H257" s="43">
        <f t="shared" si="4"/>
        <v>770532.4</v>
      </c>
      <c r="I257" s="4"/>
      <c r="M257" s="5"/>
    </row>
    <row r="258" spans="1:13" ht="17.25" customHeight="1" x14ac:dyDescent="0.25">
      <c r="A258" s="11">
        <v>45373</v>
      </c>
      <c r="B258" s="40" t="s">
        <v>752</v>
      </c>
      <c r="C258" s="41" t="s">
        <v>753</v>
      </c>
      <c r="D258" s="42" t="s">
        <v>46</v>
      </c>
      <c r="E258" s="42" t="s">
        <v>747</v>
      </c>
      <c r="F258" s="42" t="s">
        <v>43</v>
      </c>
      <c r="G258" s="43">
        <v>49000000</v>
      </c>
      <c r="H258" s="43">
        <f t="shared" si="4"/>
        <v>5390000</v>
      </c>
      <c r="I258" s="4"/>
      <c r="M258" s="5"/>
    </row>
    <row r="259" spans="1:13" ht="17.25" customHeight="1" x14ac:dyDescent="0.25">
      <c r="A259" s="11"/>
      <c r="B259" s="40"/>
      <c r="C259" s="41"/>
      <c r="D259" s="42"/>
      <c r="E259" s="42"/>
      <c r="F259" s="42"/>
      <c r="G259" s="43"/>
      <c r="H259" s="43"/>
      <c r="I259" s="4"/>
      <c r="M259" s="5"/>
    </row>
    <row r="260" spans="1:13" ht="17.25" customHeight="1" x14ac:dyDescent="0.25">
      <c r="A260" s="11">
        <v>45377</v>
      </c>
      <c r="B260" s="40" t="s">
        <v>754</v>
      </c>
      <c r="C260" s="41" t="s">
        <v>755</v>
      </c>
      <c r="D260" s="42" t="s">
        <v>15</v>
      </c>
      <c r="E260" s="42" t="s">
        <v>756</v>
      </c>
      <c r="F260" s="42" t="s">
        <v>757</v>
      </c>
      <c r="G260" s="43">
        <v>390130</v>
      </c>
      <c r="H260" s="43">
        <f>G260*11%</f>
        <v>42914.3</v>
      </c>
      <c r="I260" s="4"/>
      <c r="M260" s="5"/>
    </row>
    <row r="261" spans="1:13" ht="17.25" customHeight="1" x14ac:dyDescent="0.25">
      <c r="A261" s="11">
        <v>45377</v>
      </c>
      <c r="B261" s="40" t="s">
        <v>758</v>
      </c>
      <c r="C261" s="41" t="s">
        <v>759</v>
      </c>
      <c r="D261" s="42" t="s">
        <v>15</v>
      </c>
      <c r="E261" s="42" t="s">
        <v>756</v>
      </c>
      <c r="F261" s="42" t="s">
        <v>561</v>
      </c>
      <c r="G261" s="43">
        <v>3621870</v>
      </c>
      <c r="H261" s="43">
        <f>G261*11%-1</f>
        <v>398404.7</v>
      </c>
      <c r="I261" s="4"/>
      <c r="M261" s="5"/>
    </row>
    <row r="262" spans="1:13" ht="17.25" customHeight="1" x14ac:dyDescent="0.25">
      <c r="A262" s="11">
        <v>45378</v>
      </c>
      <c r="B262" s="40" t="s">
        <v>760</v>
      </c>
      <c r="C262" s="41" t="s">
        <v>761</v>
      </c>
      <c r="D262" s="42" t="s">
        <v>33</v>
      </c>
      <c r="E262" s="42" t="s">
        <v>762</v>
      </c>
      <c r="F262" s="42" t="s">
        <v>17</v>
      </c>
      <c r="G262" s="43">
        <v>798000</v>
      </c>
      <c r="H262" s="43">
        <f t="shared" ref="H262:H280" si="5">G262*11%</f>
        <v>87780</v>
      </c>
      <c r="I262" s="4"/>
      <c r="M262" s="5"/>
    </row>
    <row r="263" spans="1:13" ht="17.25" customHeight="1" x14ac:dyDescent="0.25">
      <c r="A263" s="11">
        <v>45378</v>
      </c>
      <c r="B263" s="40" t="s">
        <v>763</v>
      </c>
      <c r="C263" s="41" t="s">
        <v>764</v>
      </c>
      <c r="D263" s="42" t="s">
        <v>33</v>
      </c>
      <c r="E263" s="42" t="s">
        <v>765</v>
      </c>
      <c r="F263" s="42" t="s">
        <v>124</v>
      </c>
      <c r="G263" s="43">
        <v>824600</v>
      </c>
      <c r="H263" s="43">
        <f t="shared" si="5"/>
        <v>90706</v>
      </c>
      <c r="I263" s="4"/>
      <c r="M263" s="5"/>
    </row>
    <row r="264" spans="1:13" ht="17.25" customHeight="1" x14ac:dyDescent="0.25">
      <c r="A264" s="11">
        <v>45378</v>
      </c>
      <c r="B264" s="40" t="s">
        <v>766</v>
      </c>
      <c r="C264" s="41" t="s">
        <v>767</v>
      </c>
      <c r="D264" s="42" t="s">
        <v>33</v>
      </c>
      <c r="E264" s="42" t="s">
        <v>768</v>
      </c>
      <c r="F264" s="42" t="s">
        <v>341</v>
      </c>
      <c r="G264" s="43">
        <v>824600</v>
      </c>
      <c r="H264" s="43">
        <f t="shared" si="5"/>
        <v>90706</v>
      </c>
      <c r="I264" s="4"/>
      <c r="M264" s="5"/>
    </row>
    <row r="265" spans="1:13" ht="17.25" customHeight="1" x14ac:dyDescent="0.25">
      <c r="A265" s="11">
        <v>45378</v>
      </c>
      <c r="B265" s="40" t="s">
        <v>769</v>
      </c>
      <c r="C265" s="41" t="s">
        <v>770</v>
      </c>
      <c r="D265" s="42" t="s">
        <v>33</v>
      </c>
      <c r="E265" s="42" t="s">
        <v>771</v>
      </c>
      <c r="F265" s="42" t="s">
        <v>561</v>
      </c>
      <c r="G265" s="43">
        <v>771400</v>
      </c>
      <c r="H265" s="43">
        <f t="shared" si="5"/>
        <v>84854</v>
      </c>
      <c r="I265" s="4"/>
      <c r="M265" s="5"/>
    </row>
    <row r="266" spans="1:13" ht="17.25" customHeight="1" x14ac:dyDescent="0.25">
      <c r="A266" s="11">
        <v>45378</v>
      </c>
      <c r="B266" s="40" t="s">
        <v>772</v>
      </c>
      <c r="C266" s="41" t="s">
        <v>773</v>
      </c>
      <c r="D266" s="42" t="s">
        <v>33</v>
      </c>
      <c r="E266" s="42" t="s">
        <v>774</v>
      </c>
      <c r="F266" s="42" t="s">
        <v>17</v>
      </c>
      <c r="G266" s="43">
        <v>1284000</v>
      </c>
      <c r="H266" s="43">
        <f t="shared" si="5"/>
        <v>141240</v>
      </c>
      <c r="I266" s="4"/>
      <c r="M266" s="5"/>
    </row>
    <row r="267" spans="1:13" ht="17.25" customHeight="1" x14ac:dyDescent="0.25">
      <c r="A267" s="11">
        <v>45378</v>
      </c>
      <c r="B267" s="40" t="s">
        <v>775</v>
      </c>
      <c r="C267" s="41" t="s">
        <v>776</v>
      </c>
      <c r="D267" s="42" t="s">
        <v>33</v>
      </c>
      <c r="E267" s="42" t="s">
        <v>777</v>
      </c>
      <c r="F267" s="42" t="s">
        <v>124</v>
      </c>
      <c r="G267" s="43">
        <v>1326800</v>
      </c>
      <c r="H267" s="43">
        <f t="shared" si="5"/>
        <v>145948</v>
      </c>
      <c r="I267" s="4"/>
      <c r="M267" s="5"/>
    </row>
    <row r="268" spans="1:13" ht="17.25" customHeight="1" x14ac:dyDescent="0.25">
      <c r="A268" s="11">
        <v>45378</v>
      </c>
      <c r="B268" s="40" t="s">
        <v>778</v>
      </c>
      <c r="C268" s="41" t="s">
        <v>779</v>
      </c>
      <c r="D268" s="42" t="s">
        <v>33</v>
      </c>
      <c r="E268" s="42" t="s">
        <v>780</v>
      </c>
      <c r="F268" s="42" t="s">
        <v>341</v>
      </c>
      <c r="G268" s="43">
        <v>1326800</v>
      </c>
      <c r="H268" s="43">
        <f t="shared" si="5"/>
        <v>145948</v>
      </c>
      <c r="I268" s="4"/>
      <c r="M268" s="5"/>
    </row>
    <row r="269" spans="1:13" ht="17.25" customHeight="1" x14ac:dyDescent="0.25">
      <c r="A269" s="11">
        <v>45378</v>
      </c>
      <c r="B269" s="40" t="s">
        <v>781</v>
      </c>
      <c r="C269" s="41" t="s">
        <v>782</v>
      </c>
      <c r="D269" s="42" t="s">
        <v>33</v>
      </c>
      <c r="E269" s="42" t="s">
        <v>783</v>
      </c>
      <c r="F269" s="42" t="s">
        <v>561</v>
      </c>
      <c r="G269" s="43">
        <v>1241200</v>
      </c>
      <c r="H269" s="43">
        <f t="shared" si="5"/>
        <v>136532</v>
      </c>
      <c r="I269" s="4"/>
      <c r="M269" s="5"/>
    </row>
    <row r="270" spans="1:13" ht="17.25" customHeight="1" x14ac:dyDescent="0.25">
      <c r="A270" s="11">
        <v>45378</v>
      </c>
      <c r="B270" s="40" t="s">
        <v>784</v>
      </c>
      <c r="C270" s="41" t="s">
        <v>785</v>
      </c>
      <c r="D270" s="42" t="s">
        <v>33</v>
      </c>
      <c r="E270" s="42" t="s">
        <v>786</v>
      </c>
      <c r="F270" s="42" t="s">
        <v>787</v>
      </c>
      <c r="G270" s="43">
        <v>2238000</v>
      </c>
      <c r="H270" s="43">
        <f t="shared" si="5"/>
        <v>246180</v>
      </c>
      <c r="I270" s="4"/>
      <c r="M270" s="5"/>
    </row>
    <row r="271" spans="1:13" ht="17.25" customHeight="1" x14ac:dyDescent="0.25">
      <c r="A271" s="11">
        <v>45378</v>
      </c>
      <c r="B271" s="40" t="s">
        <v>788</v>
      </c>
      <c r="C271" s="41" t="s">
        <v>789</v>
      </c>
      <c r="D271" s="42" t="s">
        <v>33</v>
      </c>
      <c r="E271" s="42" t="s">
        <v>790</v>
      </c>
      <c r="F271" s="42" t="s">
        <v>561</v>
      </c>
      <c r="G271" s="43">
        <v>3663666</v>
      </c>
      <c r="H271" s="43">
        <f t="shared" si="5"/>
        <v>403003.26</v>
      </c>
      <c r="I271" s="4"/>
      <c r="M271" s="5"/>
    </row>
    <row r="272" spans="1:13" ht="17.25" customHeight="1" x14ac:dyDescent="0.25">
      <c r="A272" s="11">
        <v>45378</v>
      </c>
      <c r="B272" s="40" t="s">
        <v>791</v>
      </c>
      <c r="C272" s="41" t="s">
        <v>792</v>
      </c>
      <c r="D272" s="42" t="s">
        <v>33</v>
      </c>
      <c r="E272" s="42" t="s">
        <v>793</v>
      </c>
      <c r="F272" s="42" t="s">
        <v>794</v>
      </c>
      <c r="G272" s="43">
        <v>322667</v>
      </c>
      <c r="H272" s="43">
        <f t="shared" si="5"/>
        <v>35493.370000000003</v>
      </c>
      <c r="I272" s="4"/>
      <c r="M272" s="5"/>
    </row>
    <row r="273" spans="1:13" ht="17.25" customHeight="1" x14ac:dyDescent="0.25">
      <c r="A273" s="11">
        <v>45378</v>
      </c>
      <c r="B273" s="40" t="s">
        <v>795</v>
      </c>
      <c r="C273" s="41" t="s">
        <v>796</v>
      </c>
      <c r="D273" s="42" t="s">
        <v>33</v>
      </c>
      <c r="E273" s="42" t="s">
        <v>797</v>
      </c>
      <c r="F273" s="42" t="s">
        <v>798</v>
      </c>
      <c r="G273" s="43">
        <v>27000</v>
      </c>
      <c r="H273" s="43">
        <f t="shared" si="5"/>
        <v>2970</v>
      </c>
      <c r="I273" s="4"/>
      <c r="M273" s="5"/>
    </row>
    <row r="274" spans="1:13" ht="17.25" customHeight="1" x14ac:dyDescent="0.25">
      <c r="A274" s="11">
        <v>45378</v>
      </c>
      <c r="B274" s="40" t="s">
        <v>799</v>
      </c>
      <c r="C274" s="41" t="s">
        <v>800</v>
      </c>
      <c r="D274" s="42" t="s">
        <v>33</v>
      </c>
      <c r="E274" s="42" t="s">
        <v>801</v>
      </c>
      <c r="F274" s="42" t="s">
        <v>341</v>
      </c>
      <c r="G274" s="43">
        <v>93000</v>
      </c>
      <c r="H274" s="43">
        <f t="shared" si="5"/>
        <v>10230</v>
      </c>
      <c r="I274" s="4"/>
      <c r="M274" s="5"/>
    </row>
    <row r="275" spans="1:13" ht="17.25" customHeight="1" x14ac:dyDescent="0.25">
      <c r="A275" s="11">
        <v>45378</v>
      </c>
      <c r="B275" s="40" t="s">
        <v>802</v>
      </c>
      <c r="C275" s="41" t="s">
        <v>803</v>
      </c>
      <c r="D275" s="42" t="s">
        <v>33</v>
      </c>
      <c r="E275" s="42" t="s">
        <v>804</v>
      </c>
      <c r="F275" s="42" t="s">
        <v>805</v>
      </c>
      <c r="G275" s="43">
        <v>160000</v>
      </c>
      <c r="H275" s="43">
        <f t="shared" si="5"/>
        <v>17600</v>
      </c>
      <c r="I275" s="4"/>
      <c r="M275" s="5"/>
    </row>
    <row r="276" spans="1:13" ht="17.25" customHeight="1" x14ac:dyDescent="0.25">
      <c r="A276" s="11">
        <v>45378</v>
      </c>
      <c r="B276" s="40" t="s">
        <v>806</v>
      </c>
      <c r="C276" s="41" t="s">
        <v>807</v>
      </c>
      <c r="D276" s="42" t="s">
        <v>33</v>
      </c>
      <c r="E276" s="42" t="s">
        <v>808</v>
      </c>
      <c r="F276" s="42" t="s">
        <v>561</v>
      </c>
      <c r="G276" s="43">
        <v>154667</v>
      </c>
      <c r="H276" s="43">
        <f t="shared" si="5"/>
        <v>17013.37</v>
      </c>
      <c r="I276" s="4"/>
      <c r="M276" s="5"/>
    </row>
    <row r="277" spans="1:13" ht="17.25" customHeight="1" x14ac:dyDescent="0.25">
      <c r="A277" s="11">
        <v>45378</v>
      </c>
      <c r="B277" s="40" t="s">
        <v>809</v>
      </c>
      <c r="C277" s="41" t="s">
        <v>810</v>
      </c>
      <c r="D277" s="42" t="s">
        <v>33</v>
      </c>
      <c r="E277" s="42" t="s">
        <v>811</v>
      </c>
      <c r="F277" s="42" t="s">
        <v>17</v>
      </c>
      <c r="G277" s="43">
        <v>1845600</v>
      </c>
      <c r="H277" s="43">
        <f t="shared" si="5"/>
        <v>203016</v>
      </c>
      <c r="I277" s="4"/>
      <c r="M277" s="5"/>
    </row>
    <row r="278" spans="1:13" ht="17.25" customHeight="1" x14ac:dyDescent="0.25">
      <c r="A278" s="11">
        <v>45379</v>
      </c>
      <c r="B278" s="40" t="s">
        <v>812</v>
      </c>
      <c r="C278" s="41" t="s">
        <v>813</v>
      </c>
      <c r="D278" s="42" t="s">
        <v>616</v>
      </c>
      <c r="E278" s="42" t="s">
        <v>423</v>
      </c>
      <c r="F278" s="42" t="s">
        <v>618</v>
      </c>
      <c r="G278" s="43">
        <v>400000</v>
      </c>
      <c r="H278" s="43">
        <f t="shared" si="5"/>
        <v>44000</v>
      </c>
      <c r="I278" s="4"/>
      <c r="M278" s="5"/>
    </row>
    <row r="279" spans="1:13" ht="17.25" customHeight="1" x14ac:dyDescent="0.25">
      <c r="A279" s="11">
        <v>45379</v>
      </c>
      <c r="B279" s="40" t="s">
        <v>814</v>
      </c>
      <c r="C279" s="41" t="s">
        <v>815</v>
      </c>
      <c r="D279" s="42" t="s">
        <v>616</v>
      </c>
      <c r="E279" s="42" t="s">
        <v>423</v>
      </c>
      <c r="F279" s="42" t="s">
        <v>816</v>
      </c>
      <c r="G279" s="43">
        <v>612240</v>
      </c>
      <c r="H279" s="43">
        <f t="shared" si="5"/>
        <v>67346.399999999994</v>
      </c>
      <c r="I279" s="4"/>
      <c r="M279" s="5"/>
    </row>
    <row r="280" spans="1:13" ht="17.25" customHeight="1" x14ac:dyDescent="0.25">
      <c r="A280" s="11">
        <v>45379</v>
      </c>
      <c r="B280" s="40" t="s">
        <v>817</v>
      </c>
      <c r="C280" s="41" t="s">
        <v>818</v>
      </c>
      <c r="D280" s="42" t="s">
        <v>616</v>
      </c>
      <c r="E280" s="42" t="s">
        <v>423</v>
      </c>
      <c r="F280" s="42" t="s">
        <v>30</v>
      </c>
      <c r="G280" s="43">
        <v>584240</v>
      </c>
      <c r="H280" s="43">
        <f t="shared" si="5"/>
        <v>64266.400000000001</v>
      </c>
      <c r="I280" s="4"/>
      <c r="M280" s="5"/>
    </row>
    <row r="281" spans="1:13" ht="17.25" customHeight="1" x14ac:dyDescent="0.25">
      <c r="A281" s="11">
        <v>45379</v>
      </c>
      <c r="B281" s="40" t="s">
        <v>819</v>
      </c>
      <c r="C281" s="41" t="s">
        <v>820</v>
      </c>
      <c r="D281" s="42" t="s">
        <v>616</v>
      </c>
      <c r="E281" s="42" t="s">
        <v>423</v>
      </c>
      <c r="F281" s="42" t="s">
        <v>471</v>
      </c>
      <c r="G281" s="43">
        <v>441750</v>
      </c>
      <c r="H281" s="43">
        <f>G281*11%-1</f>
        <v>48591.5</v>
      </c>
      <c r="I281" s="4"/>
      <c r="M281" s="5"/>
    </row>
    <row r="282" spans="1:13" ht="17.25" customHeight="1" x14ac:dyDescent="0.25">
      <c r="A282" s="11">
        <v>45379</v>
      </c>
      <c r="B282" s="40" t="s">
        <v>821</v>
      </c>
      <c r="C282" s="41" t="s">
        <v>822</v>
      </c>
      <c r="D282" s="42" t="s">
        <v>15</v>
      </c>
      <c r="E282" s="42" t="s">
        <v>532</v>
      </c>
      <c r="F282" s="42" t="s">
        <v>72</v>
      </c>
      <c r="G282" s="43">
        <v>11640000</v>
      </c>
      <c r="H282" s="43">
        <f>G282*11%</f>
        <v>1280400</v>
      </c>
      <c r="I282" s="4"/>
      <c r="M282" s="5"/>
    </row>
    <row r="283" spans="1:13" ht="17.25" customHeight="1" x14ac:dyDescent="0.25">
      <c r="A283" s="11">
        <v>45379</v>
      </c>
      <c r="B283" s="40" t="s">
        <v>823</v>
      </c>
      <c r="C283" s="41" t="s">
        <v>824</v>
      </c>
      <c r="D283" s="42" t="s">
        <v>15</v>
      </c>
      <c r="E283" s="42" t="s">
        <v>825</v>
      </c>
      <c r="F283" s="42" t="s">
        <v>561</v>
      </c>
      <c r="G283" s="43">
        <v>524394120</v>
      </c>
      <c r="H283" s="43">
        <f>G283*11%</f>
        <v>57683353.200000003</v>
      </c>
      <c r="I283" s="4"/>
      <c r="M283" s="5"/>
    </row>
    <row r="284" spans="1:13" ht="17.25" customHeight="1" x14ac:dyDescent="0.25">
      <c r="A284" s="11">
        <v>45381</v>
      </c>
      <c r="B284" s="40" t="s">
        <v>826</v>
      </c>
      <c r="C284" s="41" t="s">
        <v>827</v>
      </c>
      <c r="D284" s="42" t="s">
        <v>616</v>
      </c>
      <c r="E284" s="42" t="s">
        <v>423</v>
      </c>
      <c r="F284" s="42" t="s">
        <v>828</v>
      </c>
      <c r="G284" s="43">
        <v>441750</v>
      </c>
      <c r="H284" s="43">
        <f>G284*11%-1</f>
        <v>48591.5</v>
      </c>
      <c r="I284" s="4"/>
      <c r="M284" s="5"/>
    </row>
    <row r="285" spans="1:13" ht="17.25" customHeight="1" x14ac:dyDescent="0.25">
      <c r="A285" s="11">
        <v>45381</v>
      </c>
      <c r="B285" s="40" t="s">
        <v>829</v>
      </c>
      <c r="C285" s="41" t="s">
        <v>830</v>
      </c>
      <c r="D285" s="42" t="s">
        <v>616</v>
      </c>
      <c r="E285" s="42" t="s">
        <v>123</v>
      </c>
      <c r="F285" s="42" t="s">
        <v>618</v>
      </c>
      <c r="G285" s="43">
        <v>1200000</v>
      </c>
      <c r="H285" s="43">
        <f>G285*11%</f>
        <v>132000</v>
      </c>
      <c r="I285" s="4"/>
      <c r="M285" s="5"/>
    </row>
    <row r="286" spans="1:13" ht="17.25" customHeight="1" x14ac:dyDescent="0.25">
      <c r="A286" s="11">
        <v>45381</v>
      </c>
      <c r="B286" s="40" t="s">
        <v>831</v>
      </c>
      <c r="C286" s="41" t="s">
        <v>832</v>
      </c>
      <c r="D286" s="42" t="s">
        <v>616</v>
      </c>
      <c r="E286" s="42" t="s">
        <v>123</v>
      </c>
      <c r="F286" s="42" t="s">
        <v>420</v>
      </c>
      <c r="G286" s="43">
        <v>3412287</v>
      </c>
      <c r="H286" s="43">
        <f>G286*11%-1</f>
        <v>375350.57</v>
      </c>
      <c r="I286" s="4"/>
      <c r="M286" s="5"/>
    </row>
    <row r="287" spans="1:13" ht="17.25" customHeight="1" x14ac:dyDescent="0.25">
      <c r="A287" s="11">
        <v>45381</v>
      </c>
      <c r="B287" s="40" t="s">
        <v>833</v>
      </c>
      <c r="C287" s="41" t="s">
        <v>834</v>
      </c>
      <c r="D287" s="42" t="s">
        <v>616</v>
      </c>
      <c r="E287" s="42" t="s">
        <v>123</v>
      </c>
      <c r="F287" s="42" t="s">
        <v>835</v>
      </c>
      <c r="G287" s="43">
        <v>744000</v>
      </c>
      <c r="H287" s="43">
        <f>G287*11%</f>
        <v>81840</v>
      </c>
      <c r="I287" s="4"/>
      <c r="M287" s="5"/>
    </row>
    <row r="288" spans="1:13" ht="17.25" customHeight="1" x14ac:dyDescent="0.2">
      <c r="A288" s="1"/>
      <c r="C288" s="3"/>
      <c r="G288" s="3"/>
      <c r="H288" s="3"/>
      <c r="I288" s="4"/>
      <c r="M288" s="5"/>
    </row>
    <row r="289" spans="1:13" ht="17.25" customHeight="1" x14ac:dyDescent="0.25">
      <c r="A289" s="11">
        <v>45382</v>
      </c>
      <c r="B289" s="40" t="s">
        <v>836</v>
      </c>
      <c r="C289" s="41" t="s">
        <v>837</v>
      </c>
      <c r="D289" s="42" t="s">
        <v>340</v>
      </c>
      <c r="E289" s="42" t="s">
        <v>199</v>
      </c>
      <c r="F289" s="42" t="s">
        <v>656</v>
      </c>
      <c r="G289" s="43">
        <v>219949270</v>
      </c>
      <c r="H289" s="43">
        <f>G289*11%-1</f>
        <v>24194418.699999999</v>
      </c>
      <c r="I289" s="4"/>
      <c r="M289" s="5"/>
    </row>
    <row r="290" spans="1:13" ht="17.25" customHeight="1" x14ac:dyDescent="0.25">
      <c r="A290" s="11">
        <v>45382</v>
      </c>
      <c r="B290" s="40" t="s">
        <v>838</v>
      </c>
      <c r="C290" s="41" t="s">
        <v>839</v>
      </c>
      <c r="D290" s="42" t="s">
        <v>340</v>
      </c>
      <c r="E290" s="42" t="s">
        <v>840</v>
      </c>
      <c r="F290" s="42" t="s">
        <v>656</v>
      </c>
      <c r="G290" s="43">
        <v>62255430</v>
      </c>
      <c r="H290" s="43">
        <f>G290*11%</f>
        <v>6848097.2999999998</v>
      </c>
      <c r="I290" s="4"/>
      <c r="M290" s="5"/>
    </row>
    <row r="291" spans="1:13" ht="17.25" customHeight="1" x14ac:dyDescent="0.25">
      <c r="A291" s="11"/>
      <c r="B291" s="40"/>
      <c r="C291" s="41"/>
      <c r="D291" s="42"/>
      <c r="E291" s="42"/>
      <c r="F291" s="42"/>
      <c r="G291" s="43"/>
      <c r="H291" s="43"/>
      <c r="I291" s="4"/>
      <c r="M291" s="5"/>
    </row>
    <row r="292" spans="1:13" ht="17.25" customHeight="1" x14ac:dyDescent="0.25">
      <c r="A292" s="11">
        <v>45383</v>
      </c>
      <c r="B292" s="40" t="s">
        <v>841</v>
      </c>
      <c r="C292" s="41" t="s">
        <v>842</v>
      </c>
      <c r="D292" s="42" t="s">
        <v>359</v>
      </c>
      <c r="E292" s="42" t="s">
        <v>159</v>
      </c>
      <c r="F292" s="42" t="s">
        <v>656</v>
      </c>
      <c r="G292" s="43">
        <v>1968250</v>
      </c>
      <c r="H292" s="43">
        <f>G292*11%-1</f>
        <v>216506.5</v>
      </c>
      <c r="I292" s="4"/>
      <c r="M292" s="5"/>
    </row>
    <row r="293" spans="1:13" ht="17.25" customHeight="1" x14ac:dyDescent="0.25">
      <c r="A293" s="11">
        <v>45383</v>
      </c>
      <c r="B293" s="40" t="s">
        <v>843</v>
      </c>
      <c r="C293" s="41" t="s">
        <v>844</v>
      </c>
      <c r="D293" s="42" t="s">
        <v>359</v>
      </c>
      <c r="E293" s="42" t="s">
        <v>165</v>
      </c>
      <c r="F293" s="42" t="s">
        <v>656</v>
      </c>
      <c r="G293" s="43">
        <v>571000</v>
      </c>
      <c r="H293" s="43">
        <f>G293*11%</f>
        <v>62810</v>
      </c>
      <c r="I293" s="4"/>
      <c r="M293" s="5"/>
    </row>
    <row r="294" spans="1:13" ht="17.25" customHeight="1" x14ac:dyDescent="0.25">
      <c r="A294" s="11">
        <v>45383</v>
      </c>
      <c r="B294" s="40" t="s">
        <v>845</v>
      </c>
      <c r="C294" s="41" t="s">
        <v>846</v>
      </c>
      <c r="D294" s="42" t="s">
        <v>359</v>
      </c>
      <c r="E294" s="42" t="s">
        <v>367</v>
      </c>
      <c r="F294" s="42" t="s">
        <v>656</v>
      </c>
      <c r="G294" s="43">
        <v>2302500</v>
      </c>
      <c r="H294" s="43">
        <f>G294*11%</f>
        <v>253275</v>
      </c>
      <c r="I294" s="4"/>
      <c r="M294" s="5"/>
    </row>
    <row r="295" spans="1:13" ht="17.25" customHeight="1" x14ac:dyDescent="0.25">
      <c r="A295" s="11">
        <v>45383</v>
      </c>
      <c r="B295" s="40" t="s">
        <v>847</v>
      </c>
      <c r="C295" s="41" t="s">
        <v>848</v>
      </c>
      <c r="D295" s="42" t="s">
        <v>15</v>
      </c>
      <c r="E295" s="42" t="s">
        <v>849</v>
      </c>
      <c r="F295" s="42" t="s">
        <v>124</v>
      </c>
      <c r="G295" s="43">
        <v>26652080</v>
      </c>
      <c r="H295" s="43">
        <f>G295*11%-1</f>
        <v>2931727.8</v>
      </c>
      <c r="I295" s="4"/>
      <c r="M295" s="5"/>
    </row>
    <row r="296" spans="1:13" ht="17.25" customHeight="1" x14ac:dyDescent="0.2">
      <c r="A296" s="1"/>
      <c r="C296" s="3"/>
      <c r="G296" s="3"/>
      <c r="H296" s="3"/>
      <c r="I296" s="4"/>
      <c r="M296" s="5"/>
    </row>
    <row r="297" spans="1:13" ht="17.25" customHeight="1" x14ac:dyDescent="0.25">
      <c r="A297" s="21">
        <v>45302</v>
      </c>
      <c r="B297" s="22" t="s">
        <v>850</v>
      </c>
      <c r="C297" s="23" t="s">
        <v>851</v>
      </c>
      <c r="D297" s="22" t="s">
        <v>15</v>
      </c>
      <c r="E297" s="22" t="s">
        <v>171</v>
      </c>
      <c r="F297" s="22" t="s">
        <v>17</v>
      </c>
      <c r="G297" s="24">
        <v>8536600</v>
      </c>
      <c r="H297" s="24">
        <v>939026</v>
      </c>
      <c r="I297" s="4"/>
      <c r="M297" s="5"/>
    </row>
    <row r="298" spans="1:13" ht="17.25" customHeight="1" x14ac:dyDescent="0.25">
      <c r="A298" s="21">
        <v>45383</v>
      </c>
      <c r="B298" s="22" t="s">
        <v>852</v>
      </c>
      <c r="C298" s="23" t="s">
        <v>853</v>
      </c>
      <c r="D298" s="22" t="s">
        <v>15</v>
      </c>
      <c r="E298" s="22" t="s">
        <v>849</v>
      </c>
      <c r="F298" s="22" t="s">
        <v>341</v>
      </c>
      <c r="G298" s="24">
        <v>25689050</v>
      </c>
      <c r="H298" s="24">
        <f>G298*11%-1</f>
        <v>2825794.5</v>
      </c>
      <c r="I298" s="4"/>
      <c r="M298" s="5"/>
    </row>
    <row r="299" spans="1:13" ht="17.25" customHeight="1" x14ac:dyDescent="0.25">
      <c r="A299" s="21">
        <v>45435</v>
      </c>
      <c r="B299" s="22" t="s">
        <v>854</v>
      </c>
      <c r="C299" s="23" t="s">
        <v>855</v>
      </c>
      <c r="D299" s="22" t="s">
        <v>15</v>
      </c>
      <c r="E299" s="22" t="s">
        <v>856</v>
      </c>
      <c r="F299" s="22" t="s">
        <v>124</v>
      </c>
      <c r="G299" s="24">
        <v>45797089</v>
      </c>
      <c r="H299" s="24">
        <f>G299*11%-1</f>
        <v>5037678.79</v>
      </c>
      <c r="I299" s="4"/>
      <c r="M299" s="5"/>
    </row>
    <row r="300" spans="1:13" ht="17.25" customHeight="1" x14ac:dyDescent="0.2">
      <c r="A300" s="1"/>
      <c r="C300" s="3"/>
      <c r="G300" s="3"/>
      <c r="H300" s="3"/>
      <c r="I300" s="4"/>
      <c r="M300" s="5"/>
    </row>
    <row r="301" spans="1:13" ht="17.25" customHeight="1" x14ac:dyDescent="0.25">
      <c r="A301" s="11">
        <v>45383</v>
      </c>
      <c r="B301" s="40" t="s">
        <v>857</v>
      </c>
      <c r="C301" s="41" t="s">
        <v>858</v>
      </c>
      <c r="D301" s="42" t="s">
        <v>15</v>
      </c>
      <c r="E301" s="42" t="s">
        <v>606</v>
      </c>
      <c r="F301" s="42" t="s">
        <v>43</v>
      </c>
      <c r="G301" s="43">
        <v>17195000</v>
      </c>
      <c r="H301" s="43">
        <f>G301*11%</f>
        <v>1891450</v>
      </c>
      <c r="I301" s="4"/>
      <c r="M301" s="5"/>
    </row>
    <row r="302" spans="1:13" ht="17.25" customHeight="1" x14ac:dyDescent="0.25">
      <c r="A302" s="11">
        <v>45383</v>
      </c>
      <c r="B302" s="40" t="s">
        <v>859</v>
      </c>
      <c r="C302" s="41" t="s">
        <v>860</v>
      </c>
      <c r="D302" s="42" t="s">
        <v>474</v>
      </c>
      <c r="E302" s="42" t="s">
        <v>475</v>
      </c>
      <c r="F302" s="42" t="s">
        <v>341</v>
      </c>
      <c r="G302" s="43">
        <v>34861170</v>
      </c>
      <c r="H302" s="43">
        <f>G302*11%-1</f>
        <v>3834727.7</v>
      </c>
      <c r="I302" s="4"/>
      <c r="M302" s="5"/>
    </row>
    <row r="303" spans="1:13" ht="17.25" customHeight="1" x14ac:dyDescent="0.25">
      <c r="A303" s="11">
        <v>45383</v>
      </c>
      <c r="B303" s="40" t="s">
        <v>861</v>
      </c>
      <c r="C303" s="41" t="s">
        <v>862</v>
      </c>
      <c r="D303" s="42" t="s">
        <v>474</v>
      </c>
      <c r="E303" s="42" t="s">
        <v>475</v>
      </c>
      <c r="F303" s="42" t="s">
        <v>561</v>
      </c>
      <c r="G303" s="43">
        <v>20919100</v>
      </c>
      <c r="H303" s="43">
        <f>G303*11%</f>
        <v>2301101</v>
      </c>
      <c r="I303" s="4"/>
      <c r="M303" s="5"/>
    </row>
    <row r="304" spans="1:13" ht="17.25" customHeight="1" x14ac:dyDescent="0.25">
      <c r="A304" s="11">
        <v>45385</v>
      </c>
      <c r="B304" s="40" t="s">
        <v>863</v>
      </c>
      <c r="C304" s="41" t="s">
        <v>864</v>
      </c>
      <c r="D304" s="42" t="s">
        <v>865</v>
      </c>
      <c r="E304" s="42" t="s">
        <v>866</v>
      </c>
      <c r="F304" s="42" t="s">
        <v>72</v>
      </c>
      <c r="G304" s="43">
        <v>6800000</v>
      </c>
      <c r="H304" s="43">
        <f>G304*11%</f>
        <v>748000</v>
      </c>
      <c r="I304" s="4"/>
      <c r="M304" s="5"/>
    </row>
    <row r="305" spans="1:13" ht="17.25" customHeight="1" x14ac:dyDescent="0.25">
      <c r="A305" s="11">
        <v>45398</v>
      </c>
      <c r="B305" s="40" t="s">
        <v>867</v>
      </c>
      <c r="C305" s="41" t="s">
        <v>868</v>
      </c>
      <c r="D305" s="42" t="s">
        <v>15</v>
      </c>
      <c r="E305" s="42" t="s">
        <v>272</v>
      </c>
      <c r="F305" s="42" t="s">
        <v>17</v>
      </c>
      <c r="G305" s="43">
        <v>58916960</v>
      </c>
      <c r="H305" s="43">
        <f>G305*11%-1</f>
        <v>6480864.5999999996</v>
      </c>
      <c r="I305" s="4"/>
      <c r="M305" s="5"/>
    </row>
    <row r="306" spans="1:13" ht="17.25" customHeight="1" x14ac:dyDescent="0.25">
      <c r="A306" s="11">
        <v>45398</v>
      </c>
      <c r="B306" s="40" t="s">
        <v>869</v>
      </c>
      <c r="C306" s="41" t="s">
        <v>870</v>
      </c>
      <c r="D306" s="42" t="s">
        <v>15</v>
      </c>
      <c r="E306" s="42" t="s">
        <v>546</v>
      </c>
      <c r="F306" s="42" t="s">
        <v>341</v>
      </c>
      <c r="G306" s="43">
        <v>58373350</v>
      </c>
      <c r="H306" s="43">
        <f>G306*11%-1</f>
        <v>6421067.5</v>
      </c>
      <c r="I306" s="4"/>
      <c r="M306" s="5"/>
    </row>
    <row r="307" spans="1:13" ht="17.25" customHeight="1" x14ac:dyDescent="0.25">
      <c r="A307" s="11">
        <v>45398</v>
      </c>
      <c r="B307" s="40" t="s">
        <v>871</v>
      </c>
      <c r="C307" s="41" t="s">
        <v>872</v>
      </c>
      <c r="D307" s="42" t="s">
        <v>328</v>
      </c>
      <c r="E307" s="42" t="s">
        <v>503</v>
      </c>
      <c r="F307" s="42" t="s">
        <v>656</v>
      </c>
      <c r="G307" s="43">
        <v>1553500</v>
      </c>
      <c r="H307" s="43">
        <f>G307*11%</f>
        <v>170885</v>
      </c>
      <c r="I307" s="25">
        <v>45476</v>
      </c>
      <c r="J307" s="26"/>
      <c r="M307" s="5"/>
    </row>
    <row r="308" spans="1:13" ht="17.25" customHeight="1" x14ac:dyDescent="0.25">
      <c r="A308" s="11">
        <v>45398</v>
      </c>
      <c r="B308" s="40" t="s">
        <v>873</v>
      </c>
      <c r="C308" s="41" t="s">
        <v>874</v>
      </c>
      <c r="D308" s="42" t="s">
        <v>328</v>
      </c>
      <c r="E308" s="42" t="s">
        <v>503</v>
      </c>
      <c r="F308" s="42" t="s">
        <v>875</v>
      </c>
      <c r="G308" s="43">
        <v>579610</v>
      </c>
      <c r="H308" s="43">
        <f>G308*11%</f>
        <v>63757.1</v>
      </c>
      <c r="I308" s="25"/>
      <c r="J308" s="26"/>
      <c r="M308" s="5"/>
    </row>
    <row r="309" spans="1:13" ht="17.25" customHeight="1" x14ac:dyDescent="0.25">
      <c r="A309" s="11">
        <v>45398</v>
      </c>
      <c r="B309" s="40" t="s">
        <v>876</v>
      </c>
      <c r="C309" s="41" t="s">
        <v>877</v>
      </c>
      <c r="D309" s="42" t="s">
        <v>328</v>
      </c>
      <c r="E309" s="42" t="s">
        <v>500</v>
      </c>
      <c r="F309" s="42" t="s">
        <v>656</v>
      </c>
      <c r="G309" s="43">
        <v>20829670</v>
      </c>
      <c r="H309" s="43">
        <f>G309*11%-1</f>
        <v>2291262.7000000002</v>
      </c>
      <c r="I309" s="25"/>
      <c r="J309" s="26"/>
      <c r="M309" s="5"/>
    </row>
    <row r="310" spans="1:13" ht="17.25" customHeight="1" x14ac:dyDescent="0.25">
      <c r="A310" s="11">
        <v>45398</v>
      </c>
      <c r="B310" s="40" t="s">
        <v>878</v>
      </c>
      <c r="C310" s="41" t="s">
        <v>879</v>
      </c>
      <c r="D310" s="42" t="s">
        <v>328</v>
      </c>
      <c r="E310" s="42" t="s">
        <v>246</v>
      </c>
      <c r="F310" s="42" t="s">
        <v>880</v>
      </c>
      <c r="G310" s="43">
        <v>3892750</v>
      </c>
      <c r="H310" s="43">
        <f>G310*11%-1</f>
        <v>428201.5</v>
      </c>
      <c r="I310" s="4"/>
      <c r="K310" s="26"/>
      <c r="L310" s="26"/>
      <c r="M310" s="27"/>
    </row>
    <row r="311" spans="1:13" ht="17.25" customHeight="1" x14ac:dyDescent="0.25">
      <c r="A311" s="11">
        <v>45402</v>
      </c>
      <c r="B311" s="40" t="s">
        <v>881</v>
      </c>
      <c r="C311" s="41" t="s">
        <v>882</v>
      </c>
      <c r="D311" s="42" t="s">
        <v>133</v>
      </c>
      <c r="E311" s="42" t="s">
        <v>134</v>
      </c>
      <c r="F311" s="42" t="s">
        <v>656</v>
      </c>
      <c r="G311" s="43">
        <v>27895590</v>
      </c>
      <c r="H311" s="43">
        <f>G311*11%-1</f>
        <v>3068513.9</v>
      </c>
      <c r="I311" s="53"/>
      <c r="K311" s="26"/>
      <c r="L311" s="26"/>
      <c r="M311" s="27"/>
    </row>
    <row r="312" spans="1:13" ht="17.25" customHeight="1" x14ac:dyDescent="0.2">
      <c r="A312" s="1"/>
      <c r="C312" s="3"/>
      <c r="G312" s="3"/>
      <c r="H312" s="3"/>
      <c r="I312" s="4"/>
      <c r="K312" s="26"/>
      <c r="L312" s="26"/>
      <c r="M312" s="27"/>
    </row>
    <row r="313" spans="1:13" ht="17.25" customHeight="1" x14ac:dyDescent="0.25">
      <c r="A313" s="11">
        <v>45404</v>
      </c>
      <c r="B313" s="40" t="s">
        <v>883</v>
      </c>
      <c r="C313" s="41" t="s">
        <v>884</v>
      </c>
      <c r="D313" s="42" t="s">
        <v>15</v>
      </c>
      <c r="E313" s="42" t="s">
        <v>532</v>
      </c>
      <c r="F313" s="42" t="s">
        <v>72</v>
      </c>
      <c r="G313" s="43">
        <v>2805000</v>
      </c>
      <c r="H313" s="43">
        <f>G313*11%</f>
        <v>308550</v>
      </c>
      <c r="I313" s="4"/>
      <c r="M313" s="5"/>
    </row>
    <row r="314" spans="1:13" ht="17.25" customHeight="1" x14ac:dyDescent="0.25">
      <c r="A314" s="11">
        <v>45405</v>
      </c>
      <c r="B314" s="40" t="s">
        <v>885</v>
      </c>
      <c r="C314" s="41" t="s">
        <v>886</v>
      </c>
      <c r="D314" s="42" t="s">
        <v>46</v>
      </c>
      <c r="E314" s="42" t="s">
        <v>736</v>
      </c>
      <c r="F314" s="42" t="s">
        <v>887</v>
      </c>
      <c r="G314" s="43">
        <v>1423300</v>
      </c>
      <c r="H314" s="43">
        <f>G314*11%</f>
        <v>156563</v>
      </c>
      <c r="I314" s="4"/>
      <c r="M314" s="5"/>
    </row>
    <row r="315" spans="1:13" ht="17.25" customHeight="1" x14ac:dyDescent="0.25">
      <c r="A315" s="11">
        <v>45405</v>
      </c>
      <c r="B315" s="40" t="s">
        <v>888</v>
      </c>
      <c r="C315" s="41" t="s">
        <v>889</v>
      </c>
      <c r="D315" s="42" t="s">
        <v>46</v>
      </c>
      <c r="E315" s="42" t="s">
        <v>736</v>
      </c>
      <c r="F315" s="42" t="s">
        <v>890</v>
      </c>
      <c r="G315" s="43">
        <v>1158040</v>
      </c>
      <c r="H315" s="43">
        <f>G315*11%</f>
        <v>127384.4</v>
      </c>
      <c r="I315" s="4"/>
      <c r="M315" s="5"/>
    </row>
    <row r="316" spans="1:13" ht="17.25" customHeight="1" x14ac:dyDescent="0.25">
      <c r="A316" s="11">
        <v>45405</v>
      </c>
      <c r="B316" s="40" t="s">
        <v>891</v>
      </c>
      <c r="C316" s="41" t="s">
        <v>892</v>
      </c>
      <c r="D316" s="42" t="s">
        <v>46</v>
      </c>
      <c r="E316" s="42" t="s">
        <v>736</v>
      </c>
      <c r="F316" s="42" t="s">
        <v>893</v>
      </c>
      <c r="G316" s="43">
        <v>1111750</v>
      </c>
      <c r="H316" s="43">
        <f>G316*11%-1</f>
        <v>122291.5</v>
      </c>
      <c r="I316" s="4"/>
      <c r="M316" s="5"/>
    </row>
    <row r="317" spans="1:13" ht="17.25" customHeight="1" x14ac:dyDescent="0.25">
      <c r="A317" s="11">
        <v>45405</v>
      </c>
      <c r="B317" s="40" t="s">
        <v>894</v>
      </c>
      <c r="C317" s="41" t="s">
        <v>895</v>
      </c>
      <c r="D317" s="42" t="s">
        <v>46</v>
      </c>
      <c r="E317" s="42" t="s">
        <v>736</v>
      </c>
      <c r="F317" s="42" t="s">
        <v>43</v>
      </c>
      <c r="G317" s="43">
        <v>7797000</v>
      </c>
      <c r="H317" s="43">
        <f t="shared" ref="H317:H324" si="6">G317*11%</f>
        <v>857670</v>
      </c>
      <c r="I317" s="4"/>
      <c r="M317" s="5"/>
    </row>
    <row r="318" spans="1:13" ht="17.25" customHeight="1" x14ac:dyDescent="0.25">
      <c r="A318" s="11">
        <v>45406</v>
      </c>
      <c r="B318" s="40" t="s">
        <v>896</v>
      </c>
      <c r="C318" s="41" t="s">
        <v>897</v>
      </c>
      <c r="D318" s="42" t="s">
        <v>898</v>
      </c>
      <c r="E318" s="42" t="s">
        <v>899</v>
      </c>
      <c r="F318" s="42" t="s">
        <v>333</v>
      </c>
      <c r="G318" s="43">
        <v>3750000</v>
      </c>
      <c r="H318" s="43">
        <f t="shared" si="6"/>
        <v>412500</v>
      </c>
      <c r="I318" s="4"/>
      <c r="M318" s="5"/>
    </row>
    <row r="319" spans="1:13" ht="17.25" customHeight="1" x14ac:dyDescent="0.25">
      <c r="A319" s="11">
        <v>45406</v>
      </c>
      <c r="B319" s="40" t="s">
        <v>900</v>
      </c>
      <c r="C319" s="41" t="s">
        <v>901</v>
      </c>
      <c r="D319" s="42" t="s">
        <v>898</v>
      </c>
      <c r="E319" s="42" t="s">
        <v>899</v>
      </c>
      <c r="F319" s="42" t="s">
        <v>902</v>
      </c>
      <c r="G319" s="43">
        <v>11650000</v>
      </c>
      <c r="H319" s="43">
        <f t="shared" si="6"/>
        <v>1281500</v>
      </c>
      <c r="I319" s="4"/>
      <c r="M319" s="5"/>
    </row>
    <row r="320" spans="1:13" ht="17.25" customHeight="1" x14ac:dyDescent="0.25">
      <c r="A320" s="11">
        <v>45406</v>
      </c>
      <c r="B320" s="40" t="s">
        <v>903</v>
      </c>
      <c r="C320" s="41" t="s">
        <v>904</v>
      </c>
      <c r="D320" s="42" t="s">
        <v>20</v>
      </c>
      <c r="E320" s="42" t="s">
        <v>25</v>
      </c>
      <c r="F320" s="42" t="s">
        <v>341</v>
      </c>
      <c r="G320" s="43">
        <v>10331220</v>
      </c>
      <c r="H320" s="43">
        <f t="shared" si="6"/>
        <v>1136434.2</v>
      </c>
      <c r="I320" s="4"/>
      <c r="M320" s="5"/>
    </row>
    <row r="321" spans="1:13" ht="17.25" customHeight="1" x14ac:dyDescent="0.25">
      <c r="A321" s="11">
        <v>45406</v>
      </c>
      <c r="B321" s="40" t="s">
        <v>905</v>
      </c>
      <c r="C321" s="41" t="s">
        <v>906</v>
      </c>
      <c r="D321" s="42" t="s">
        <v>865</v>
      </c>
      <c r="E321" s="42" t="s">
        <v>907</v>
      </c>
      <c r="F321" s="42" t="s">
        <v>908</v>
      </c>
      <c r="G321" s="43">
        <v>3150000</v>
      </c>
      <c r="H321" s="43">
        <f t="shared" si="6"/>
        <v>346500</v>
      </c>
      <c r="I321" s="4"/>
      <c r="M321" s="5"/>
    </row>
    <row r="322" spans="1:13" ht="17.25" customHeight="1" x14ac:dyDescent="0.25">
      <c r="A322" s="11">
        <v>45406</v>
      </c>
      <c r="B322" s="40" t="s">
        <v>909</v>
      </c>
      <c r="C322" s="41" t="s">
        <v>910</v>
      </c>
      <c r="D322" s="42" t="s">
        <v>474</v>
      </c>
      <c r="E322" s="42" t="s">
        <v>475</v>
      </c>
      <c r="F322" s="42" t="s">
        <v>656</v>
      </c>
      <c r="G322" s="43">
        <v>21193020</v>
      </c>
      <c r="H322" s="43">
        <f t="shared" si="6"/>
        <v>2331232.2000000002</v>
      </c>
      <c r="I322" s="4"/>
      <c r="M322" s="5"/>
    </row>
    <row r="323" spans="1:13" ht="17.25" customHeight="1" x14ac:dyDescent="0.25">
      <c r="A323" s="11">
        <v>45406</v>
      </c>
      <c r="B323" s="40" t="s">
        <v>911</v>
      </c>
      <c r="C323" s="41" t="s">
        <v>912</v>
      </c>
      <c r="D323" s="42" t="s">
        <v>15</v>
      </c>
      <c r="E323" s="42" t="s">
        <v>756</v>
      </c>
      <c r="F323" s="42" t="s">
        <v>656</v>
      </c>
      <c r="G323" s="43">
        <v>2986220</v>
      </c>
      <c r="H323" s="43">
        <f t="shared" si="6"/>
        <v>328484.2</v>
      </c>
      <c r="I323" s="4"/>
      <c r="M323" s="5"/>
    </row>
    <row r="324" spans="1:13" ht="17.25" customHeight="1" x14ac:dyDescent="0.25">
      <c r="A324" s="11">
        <v>45406</v>
      </c>
      <c r="B324" s="40" t="s">
        <v>913</v>
      </c>
      <c r="C324" s="41" t="s">
        <v>914</v>
      </c>
      <c r="D324" s="42" t="s">
        <v>865</v>
      </c>
      <c r="E324" s="42" t="s">
        <v>915</v>
      </c>
      <c r="F324" s="42" t="s">
        <v>43</v>
      </c>
      <c r="G324" s="43">
        <v>14903000</v>
      </c>
      <c r="H324" s="43">
        <f t="shared" si="6"/>
        <v>1639330</v>
      </c>
      <c r="I324" s="4"/>
      <c r="M324" s="5"/>
    </row>
    <row r="325" spans="1:13" ht="17.25" customHeight="1" x14ac:dyDescent="0.25">
      <c r="A325" s="11">
        <v>45407</v>
      </c>
      <c r="B325" s="40" t="s">
        <v>916</v>
      </c>
      <c r="C325" s="41" t="s">
        <v>917</v>
      </c>
      <c r="D325" s="42" t="s">
        <v>412</v>
      </c>
      <c r="E325" s="42" t="s">
        <v>918</v>
      </c>
      <c r="F325" s="42" t="s">
        <v>919</v>
      </c>
      <c r="G325" s="43">
        <v>181235250</v>
      </c>
      <c r="H325" s="43">
        <f>G325*11%-1</f>
        <v>19935876.5</v>
      </c>
      <c r="I325" s="4"/>
      <c r="M325" s="5"/>
    </row>
    <row r="326" spans="1:13" ht="17.25" customHeight="1" x14ac:dyDescent="0.25">
      <c r="A326" s="11">
        <v>45407</v>
      </c>
      <c r="B326" s="40" t="s">
        <v>920</v>
      </c>
      <c r="C326" s="41" t="s">
        <v>921</v>
      </c>
      <c r="D326" s="42" t="s">
        <v>15</v>
      </c>
      <c r="E326" s="42" t="s">
        <v>922</v>
      </c>
      <c r="F326" s="42" t="s">
        <v>656</v>
      </c>
      <c r="G326" s="43">
        <v>58753770</v>
      </c>
      <c r="H326" s="43">
        <f>G326*11%-1</f>
        <v>6462913.7000000002</v>
      </c>
      <c r="I326" s="4"/>
      <c r="M326" s="5"/>
    </row>
    <row r="327" spans="1:13" ht="17.25" customHeight="1" x14ac:dyDescent="0.25">
      <c r="A327" s="11">
        <v>45409</v>
      </c>
      <c r="B327" s="40" t="s">
        <v>923</v>
      </c>
      <c r="C327" s="41" t="s">
        <v>924</v>
      </c>
      <c r="D327" s="42" t="s">
        <v>15</v>
      </c>
      <c r="E327" s="42" t="s">
        <v>532</v>
      </c>
      <c r="F327" s="42" t="s">
        <v>925</v>
      </c>
      <c r="G327" s="43">
        <v>7869800</v>
      </c>
      <c r="H327" s="43">
        <f>G327*11%</f>
        <v>865678</v>
      </c>
      <c r="I327" s="4"/>
      <c r="M327" s="5"/>
    </row>
    <row r="328" spans="1:13" ht="17.25" customHeight="1" x14ac:dyDescent="0.25">
      <c r="A328" s="11">
        <v>45409</v>
      </c>
      <c r="B328" s="40" t="s">
        <v>926</v>
      </c>
      <c r="C328" s="41" t="s">
        <v>927</v>
      </c>
      <c r="D328" s="42" t="s">
        <v>15</v>
      </c>
      <c r="E328" s="42" t="s">
        <v>532</v>
      </c>
      <c r="F328" s="42" t="s">
        <v>561</v>
      </c>
      <c r="G328" s="43">
        <v>14968600</v>
      </c>
      <c r="H328" s="43">
        <f>G328*11%</f>
        <v>1646546</v>
      </c>
      <c r="I328" s="4"/>
      <c r="M328" s="5"/>
    </row>
    <row r="329" spans="1:13" ht="17.25" customHeight="1" x14ac:dyDescent="0.2">
      <c r="A329" s="1"/>
      <c r="C329" s="3"/>
      <c r="G329" s="3"/>
      <c r="H329" s="3"/>
      <c r="I329" s="4"/>
      <c r="M329" s="5"/>
    </row>
    <row r="330" spans="1:13" ht="17.25" customHeight="1" x14ac:dyDescent="0.25">
      <c r="A330" s="11">
        <v>45411</v>
      </c>
      <c r="B330" s="40" t="s">
        <v>928</v>
      </c>
      <c r="C330" s="41" t="s">
        <v>929</v>
      </c>
      <c r="D330" s="42" t="s">
        <v>898</v>
      </c>
      <c r="E330" s="42" t="s">
        <v>930</v>
      </c>
      <c r="F330" s="42" t="s">
        <v>333</v>
      </c>
      <c r="G330" s="43">
        <v>3000000</v>
      </c>
      <c r="H330" s="43">
        <f>G330*11%</f>
        <v>330000</v>
      </c>
      <c r="I330" s="4"/>
      <c r="M330" s="5"/>
    </row>
    <row r="331" spans="1:13" ht="17.25" customHeight="1" x14ac:dyDescent="0.25">
      <c r="A331" s="11">
        <v>45411</v>
      </c>
      <c r="B331" s="40" t="s">
        <v>931</v>
      </c>
      <c r="C331" s="41" t="s">
        <v>932</v>
      </c>
      <c r="D331" s="42" t="s">
        <v>898</v>
      </c>
      <c r="E331" s="42" t="s">
        <v>930</v>
      </c>
      <c r="F331" s="42" t="s">
        <v>933</v>
      </c>
      <c r="G331" s="43">
        <v>10160000</v>
      </c>
      <c r="H331" s="43">
        <f>G331*11%</f>
        <v>1117600</v>
      </c>
      <c r="I331" s="4"/>
      <c r="M331" s="5"/>
    </row>
    <row r="332" spans="1:13" ht="17.25" customHeight="1" x14ac:dyDescent="0.25">
      <c r="A332" s="11">
        <v>45411</v>
      </c>
      <c r="B332" s="40" t="s">
        <v>934</v>
      </c>
      <c r="C332" s="41" t="s">
        <v>935</v>
      </c>
      <c r="D332" s="42" t="s">
        <v>15</v>
      </c>
      <c r="E332" s="42" t="s">
        <v>602</v>
      </c>
      <c r="F332" s="42" t="s">
        <v>936</v>
      </c>
      <c r="G332" s="43">
        <v>1266190</v>
      </c>
      <c r="H332" s="43">
        <f>G332*11%-1</f>
        <v>139279.9</v>
      </c>
      <c r="I332" s="4"/>
      <c r="M332" s="5"/>
    </row>
    <row r="333" spans="1:13" ht="17.25" customHeight="1" x14ac:dyDescent="0.25">
      <c r="A333" s="11">
        <v>45412</v>
      </c>
      <c r="B333" s="40" t="s">
        <v>937</v>
      </c>
      <c r="C333" s="41" t="s">
        <v>938</v>
      </c>
      <c r="D333" s="42" t="s">
        <v>359</v>
      </c>
      <c r="E333" s="42" t="s">
        <v>364</v>
      </c>
      <c r="F333" s="42" t="s">
        <v>333</v>
      </c>
      <c r="G333" s="43">
        <v>3600000</v>
      </c>
      <c r="H333" s="43">
        <f>G333*11%</f>
        <v>396000</v>
      </c>
      <c r="I333" s="4"/>
      <c r="M333" s="5"/>
    </row>
    <row r="334" spans="1:13" ht="17.25" customHeight="1" x14ac:dyDescent="0.25">
      <c r="A334" s="11">
        <v>45412</v>
      </c>
      <c r="B334" s="40" t="s">
        <v>939</v>
      </c>
      <c r="C334" s="41" t="s">
        <v>940</v>
      </c>
      <c r="D334" s="42" t="s">
        <v>359</v>
      </c>
      <c r="E334" s="42" t="s">
        <v>364</v>
      </c>
      <c r="F334" s="42" t="s">
        <v>656</v>
      </c>
      <c r="G334" s="43">
        <v>5858900</v>
      </c>
      <c r="H334" s="43">
        <f>G334*11%</f>
        <v>644479</v>
      </c>
      <c r="I334" s="4"/>
      <c r="M334" s="5"/>
    </row>
    <row r="335" spans="1:13" ht="17.25" customHeight="1" x14ac:dyDescent="0.25">
      <c r="A335" s="11">
        <v>45412</v>
      </c>
      <c r="B335" s="40" t="s">
        <v>941</v>
      </c>
      <c r="C335" s="41" t="s">
        <v>942</v>
      </c>
      <c r="D335" s="42" t="s">
        <v>340</v>
      </c>
      <c r="E335" s="42" t="s">
        <v>199</v>
      </c>
      <c r="F335" s="42" t="s">
        <v>943</v>
      </c>
      <c r="G335" s="43">
        <v>220571730</v>
      </c>
      <c r="H335" s="43">
        <f>G335*11%</f>
        <v>24262890.300000001</v>
      </c>
      <c r="I335" s="4"/>
      <c r="M335" s="5"/>
    </row>
    <row r="336" spans="1:13" ht="17.25" customHeight="1" x14ac:dyDescent="0.25">
      <c r="A336" s="11">
        <v>45412</v>
      </c>
      <c r="B336" s="40" t="s">
        <v>944</v>
      </c>
      <c r="C336" s="41" t="s">
        <v>945</v>
      </c>
      <c r="D336" s="42" t="s">
        <v>340</v>
      </c>
      <c r="E336" s="42" t="s">
        <v>840</v>
      </c>
      <c r="F336" s="42" t="s">
        <v>943</v>
      </c>
      <c r="G336" s="43">
        <v>65587300</v>
      </c>
      <c r="H336" s="43">
        <f>G336*11%</f>
        <v>7214603</v>
      </c>
      <c r="I336" s="4"/>
      <c r="M336" s="5"/>
    </row>
    <row r="337" spans="1:13" ht="17.25" customHeight="1" x14ac:dyDescent="0.25">
      <c r="A337" s="11">
        <v>45414</v>
      </c>
      <c r="B337" s="40" t="s">
        <v>946</v>
      </c>
      <c r="C337" s="41" t="s">
        <v>947</v>
      </c>
      <c r="D337" s="42" t="s">
        <v>865</v>
      </c>
      <c r="E337" s="42" t="s">
        <v>948</v>
      </c>
      <c r="F337" s="42" t="s">
        <v>72</v>
      </c>
      <c r="G337" s="43">
        <v>4500000</v>
      </c>
      <c r="H337" s="43">
        <f>G337*11%</f>
        <v>495000</v>
      </c>
      <c r="I337" s="4"/>
      <c r="M337" s="5"/>
    </row>
    <row r="338" spans="1:13" ht="17.25" customHeight="1" x14ac:dyDescent="0.25">
      <c r="A338" s="11"/>
      <c r="B338" s="40"/>
      <c r="C338" s="41"/>
      <c r="D338" s="42"/>
      <c r="E338" s="42"/>
      <c r="F338" s="42"/>
      <c r="G338" s="43"/>
      <c r="H338" s="43"/>
      <c r="I338" s="4"/>
      <c r="M338" s="5"/>
    </row>
    <row r="339" spans="1:13" ht="17.25" customHeight="1" x14ac:dyDescent="0.25">
      <c r="A339" s="11">
        <v>45414</v>
      </c>
      <c r="B339" s="40" t="s">
        <v>949</v>
      </c>
      <c r="C339" s="41" t="s">
        <v>950</v>
      </c>
      <c r="D339" s="42" t="s">
        <v>15</v>
      </c>
      <c r="E339" s="42" t="s">
        <v>588</v>
      </c>
      <c r="F339" s="42" t="s">
        <v>561</v>
      </c>
      <c r="G339" s="43">
        <v>58212972</v>
      </c>
      <c r="H339" s="43">
        <f>G339*11%-1</f>
        <v>6403425.9199999999</v>
      </c>
      <c r="I339" s="4"/>
      <c r="M339" s="5"/>
    </row>
    <row r="340" spans="1:13" ht="17.25" customHeight="1" x14ac:dyDescent="0.25">
      <c r="A340" s="11">
        <v>45414</v>
      </c>
      <c r="B340" s="40" t="s">
        <v>951</v>
      </c>
      <c r="C340" s="41" t="s">
        <v>952</v>
      </c>
      <c r="D340" s="42" t="s">
        <v>15</v>
      </c>
      <c r="E340" s="42" t="s">
        <v>588</v>
      </c>
      <c r="F340" s="42" t="s">
        <v>656</v>
      </c>
      <c r="G340" s="43">
        <v>70745720</v>
      </c>
      <c r="H340" s="43">
        <f>G340*11%</f>
        <v>7782029.2000000002</v>
      </c>
      <c r="I340" s="4"/>
      <c r="M340" s="5"/>
    </row>
    <row r="341" spans="1:13" ht="17.25" customHeight="1" x14ac:dyDescent="0.25">
      <c r="A341" s="11">
        <v>45414</v>
      </c>
      <c r="B341" s="40" t="s">
        <v>953</v>
      </c>
      <c r="C341" s="41" t="s">
        <v>954</v>
      </c>
      <c r="D341" s="42" t="s">
        <v>15</v>
      </c>
      <c r="E341" s="42" t="s">
        <v>578</v>
      </c>
      <c r="F341" s="42" t="s">
        <v>561</v>
      </c>
      <c r="G341" s="43">
        <v>12343740</v>
      </c>
      <c r="H341" s="43">
        <f>G341*11%</f>
        <v>1357811.4</v>
      </c>
      <c r="I341" s="4"/>
      <c r="M341" s="5"/>
    </row>
    <row r="342" spans="1:13" ht="17.25" customHeight="1" x14ac:dyDescent="0.25">
      <c r="A342" s="11">
        <v>45414</v>
      </c>
      <c r="B342" s="40" t="s">
        <v>955</v>
      </c>
      <c r="C342" s="41" t="s">
        <v>956</v>
      </c>
      <c r="D342" s="42" t="s">
        <v>15</v>
      </c>
      <c r="E342" s="42" t="s">
        <v>578</v>
      </c>
      <c r="F342" s="42" t="s">
        <v>656</v>
      </c>
      <c r="G342" s="43">
        <v>10432860</v>
      </c>
      <c r="H342" s="43">
        <f>G342*11%-1</f>
        <v>1147613.6000000001</v>
      </c>
      <c r="I342" s="4"/>
      <c r="M342" s="5"/>
    </row>
    <row r="343" spans="1:13" ht="17.25" customHeight="1" x14ac:dyDescent="0.25">
      <c r="A343" s="11">
        <v>45414</v>
      </c>
      <c r="B343" s="40" t="s">
        <v>957</v>
      </c>
      <c r="C343" s="41" t="s">
        <v>958</v>
      </c>
      <c r="D343" s="42" t="s">
        <v>15</v>
      </c>
      <c r="E343" s="42" t="s">
        <v>959</v>
      </c>
      <c r="F343" s="42" t="s">
        <v>656</v>
      </c>
      <c r="G343" s="43">
        <v>79071100</v>
      </c>
      <c r="H343" s="43">
        <f>G343*11%</f>
        <v>8697821</v>
      </c>
      <c r="I343" s="4"/>
      <c r="M343" s="5"/>
    </row>
    <row r="344" spans="1:13" ht="17.25" customHeight="1" x14ac:dyDescent="0.25">
      <c r="A344" s="11">
        <v>45414</v>
      </c>
      <c r="B344" s="40" t="s">
        <v>960</v>
      </c>
      <c r="C344" s="41" t="s">
        <v>961</v>
      </c>
      <c r="D344" s="42" t="s">
        <v>371</v>
      </c>
      <c r="E344" s="42" t="s">
        <v>962</v>
      </c>
      <c r="F344" s="42" t="s">
        <v>963</v>
      </c>
      <c r="G344" s="43">
        <v>138230</v>
      </c>
      <c r="H344" s="43">
        <f>G344*11%</f>
        <v>15205.3</v>
      </c>
      <c r="I344" s="4"/>
      <c r="M344" s="5"/>
    </row>
    <row r="345" spans="1:13" ht="17.25" customHeight="1" x14ac:dyDescent="0.25">
      <c r="A345" s="11">
        <v>45414</v>
      </c>
      <c r="B345" s="40" t="s">
        <v>964</v>
      </c>
      <c r="C345" s="41" t="s">
        <v>965</v>
      </c>
      <c r="D345" s="42" t="s">
        <v>137</v>
      </c>
      <c r="E345" s="42" t="s">
        <v>966</v>
      </c>
      <c r="F345" s="42" t="s">
        <v>656</v>
      </c>
      <c r="G345" s="43">
        <v>418090</v>
      </c>
      <c r="H345" s="43">
        <f>G345*11%-1</f>
        <v>45988.9</v>
      </c>
      <c r="I345" s="4"/>
      <c r="M345" s="5"/>
    </row>
    <row r="346" spans="1:13" ht="17.25" customHeight="1" x14ac:dyDescent="0.25">
      <c r="A346" s="11">
        <v>45414</v>
      </c>
      <c r="B346" s="40" t="s">
        <v>967</v>
      </c>
      <c r="C346" s="41" t="s">
        <v>968</v>
      </c>
      <c r="D346" s="42" t="s">
        <v>137</v>
      </c>
      <c r="E346" s="42" t="s">
        <v>494</v>
      </c>
      <c r="F346" s="42" t="s">
        <v>656</v>
      </c>
      <c r="G346" s="43">
        <v>191440</v>
      </c>
      <c r="H346" s="43">
        <f>G346*11%</f>
        <v>21058.400000000001</v>
      </c>
      <c r="I346" s="4"/>
      <c r="M346" s="5"/>
    </row>
    <row r="347" spans="1:13" ht="17.25" customHeight="1" x14ac:dyDescent="0.25">
      <c r="A347" s="11">
        <v>45414</v>
      </c>
      <c r="B347" s="40" t="s">
        <v>969</v>
      </c>
      <c r="C347" s="41" t="s">
        <v>970</v>
      </c>
      <c r="D347" s="42" t="s">
        <v>137</v>
      </c>
      <c r="E347" s="42" t="s">
        <v>971</v>
      </c>
      <c r="F347" s="42" t="s">
        <v>656</v>
      </c>
      <c r="G347" s="43">
        <v>351000</v>
      </c>
      <c r="H347" s="43">
        <f>G347*11%</f>
        <v>38610</v>
      </c>
      <c r="I347" s="4"/>
      <c r="M347" s="5"/>
    </row>
    <row r="348" spans="1:13" ht="17.25" customHeight="1" x14ac:dyDescent="0.25">
      <c r="A348" s="11">
        <v>45414</v>
      </c>
      <c r="B348" s="40" t="s">
        <v>972</v>
      </c>
      <c r="C348" s="41" t="s">
        <v>973</v>
      </c>
      <c r="D348" s="42" t="s">
        <v>137</v>
      </c>
      <c r="E348" s="42" t="s">
        <v>159</v>
      </c>
      <c r="F348" s="42" t="s">
        <v>974</v>
      </c>
      <c r="G348" s="43">
        <v>76500</v>
      </c>
      <c r="H348" s="43">
        <f>G348*11%</f>
        <v>8415</v>
      </c>
      <c r="I348" s="4"/>
      <c r="M348" s="5"/>
    </row>
    <row r="349" spans="1:13" ht="17.25" customHeight="1" x14ac:dyDescent="0.25">
      <c r="A349" s="11">
        <v>45414</v>
      </c>
      <c r="B349" s="40" t="s">
        <v>975</v>
      </c>
      <c r="C349" s="41" t="s">
        <v>976</v>
      </c>
      <c r="D349" s="42" t="s">
        <v>15</v>
      </c>
      <c r="E349" s="42" t="s">
        <v>977</v>
      </c>
      <c r="F349" s="42" t="s">
        <v>656</v>
      </c>
      <c r="G349" s="43">
        <v>518639290</v>
      </c>
      <c r="H349" s="43">
        <f>G349*11%-1</f>
        <v>57050320.899999999</v>
      </c>
      <c r="I349" s="4"/>
      <c r="M349" s="5"/>
    </row>
    <row r="350" spans="1:13" ht="17.25" customHeight="1" x14ac:dyDescent="0.25">
      <c r="A350" s="11">
        <v>45414</v>
      </c>
      <c r="B350" s="40" t="s">
        <v>978</v>
      </c>
      <c r="C350" s="41" t="s">
        <v>979</v>
      </c>
      <c r="D350" s="42" t="s">
        <v>33</v>
      </c>
      <c r="E350" s="42" t="s">
        <v>948</v>
      </c>
      <c r="F350" s="42" t="s">
        <v>72</v>
      </c>
      <c r="G350" s="43">
        <v>4500000</v>
      </c>
      <c r="H350" s="43">
        <f>G350*11%</f>
        <v>495000</v>
      </c>
      <c r="I350" s="4"/>
      <c r="M350" s="5"/>
    </row>
    <row r="351" spans="1:13" ht="17.25" customHeight="1" x14ac:dyDescent="0.2">
      <c r="A351" s="1"/>
      <c r="C351" s="3"/>
      <c r="G351" s="3"/>
      <c r="H351" s="3"/>
      <c r="I351" s="4"/>
      <c r="M351" s="5"/>
    </row>
    <row r="352" spans="1:13" ht="17.25" customHeight="1" x14ac:dyDescent="0.25">
      <c r="A352" s="11">
        <v>45415</v>
      </c>
      <c r="B352" s="40" t="s">
        <v>980</v>
      </c>
      <c r="C352" s="41" t="s">
        <v>981</v>
      </c>
      <c r="D352" s="42" t="s">
        <v>87</v>
      </c>
      <c r="E352" s="42" t="s">
        <v>417</v>
      </c>
      <c r="F352" s="42" t="s">
        <v>982</v>
      </c>
      <c r="G352" s="43">
        <v>2483367</v>
      </c>
      <c r="H352" s="43">
        <f>G352*11%</f>
        <v>273170.37</v>
      </c>
      <c r="I352" s="4"/>
      <c r="M352" s="5"/>
    </row>
    <row r="353" spans="1:13" ht="17.25" customHeight="1" x14ac:dyDescent="0.25">
      <c r="A353" s="11">
        <v>45418</v>
      </c>
      <c r="B353" s="40" t="s">
        <v>983</v>
      </c>
      <c r="C353" s="41" t="s">
        <v>984</v>
      </c>
      <c r="D353" s="42" t="s">
        <v>898</v>
      </c>
      <c r="E353" s="42" t="s">
        <v>985</v>
      </c>
      <c r="F353" s="42" t="s">
        <v>333</v>
      </c>
      <c r="G353" s="43">
        <v>1500000</v>
      </c>
      <c r="H353" s="43">
        <f>G353*11%</f>
        <v>165000</v>
      </c>
      <c r="I353" s="4"/>
      <c r="M353" s="5"/>
    </row>
    <row r="354" spans="1:13" ht="17.25" customHeight="1" x14ac:dyDescent="0.25">
      <c r="A354" s="11">
        <v>45418</v>
      </c>
      <c r="B354" s="40" t="s">
        <v>986</v>
      </c>
      <c r="C354" s="41" t="s">
        <v>987</v>
      </c>
      <c r="D354" s="42" t="s">
        <v>898</v>
      </c>
      <c r="E354" s="42" t="s">
        <v>985</v>
      </c>
      <c r="F354" s="42" t="s">
        <v>988</v>
      </c>
      <c r="G354" s="43">
        <v>3947500</v>
      </c>
      <c r="H354" s="43">
        <f>G354*11%</f>
        <v>434225</v>
      </c>
      <c r="I354" s="4"/>
      <c r="M354" s="5"/>
    </row>
    <row r="355" spans="1:13" ht="17.25" customHeight="1" x14ac:dyDescent="0.25">
      <c r="A355" s="11">
        <v>45419</v>
      </c>
      <c r="B355" s="40" t="s">
        <v>989</v>
      </c>
      <c r="C355" s="41" t="s">
        <v>990</v>
      </c>
      <c r="D355" s="42" t="s">
        <v>15</v>
      </c>
      <c r="E355" s="42" t="s">
        <v>532</v>
      </c>
      <c r="F355" s="42" t="s">
        <v>72</v>
      </c>
      <c r="G355" s="43">
        <v>3492000</v>
      </c>
      <c r="H355" s="43">
        <f>G355*11%</f>
        <v>384120</v>
      </c>
      <c r="I355" s="4"/>
      <c r="M355" s="5"/>
    </row>
    <row r="356" spans="1:13" ht="17.25" customHeight="1" x14ac:dyDescent="0.25">
      <c r="A356" s="11"/>
      <c r="B356" s="40"/>
      <c r="C356" s="41"/>
      <c r="D356" s="42"/>
      <c r="E356" s="42"/>
      <c r="F356" s="42"/>
      <c r="G356" s="43"/>
      <c r="H356" s="43"/>
      <c r="I356" s="4"/>
      <c r="M356" s="5"/>
    </row>
    <row r="357" spans="1:13" ht="17.25" customHeight="1" x14ac:dyDescent="0.25">
      <c r="A357" s="11"/>
      <c r="B357" s="40"/>
      <c r="C357" s="41"/>
      <c r="D357" s="42"/>
      <c r="E357" s="42"/>
      <c r="F357" s="42"/>
      <c r="G357" s="43"/>
      <c r="H357" s="43"/>
      <c r="I357" s="4"/>
      <c r="M357" s="5"/>
    </row>
    <row r="358" spans="1:13" ht="17.25" customHeight="1" x14ac:dyDescent="0.25">
      <c r="A358" s="11"/>
      <c r="B358" s="40"/>
      <c r="C358" s="41"/>
      <c r="D358" s="42"/>
      <c r="E358" s="42"/>
      <c r="F358" s="42"/>
      <c r="G358" s="43"/>
      <c r="H358" s="43"/>
      <c r="I358" s="4"/>
      <c r="M358" s="5"/>
    </row>
    <row r="359" spans="1:13" ht="17.25" customHeight="1" x14ac:dyDescent="0.25">
      <c r="A359" s="11">
        <v>45422</v>
      </c>
      <c r="B359" s="40" t="s">
        <v>991</v>
      </c>
      <c r="C359" s="41" t="s">
        <v>992</v>
      </c>
      <c r="D359" s="42" t="s">
        <v>865</v>
      </c>
      <c r="E359" s="42" t="s">
        <v>948</v>
      </c>
      <c r="F359" s="42" t="s">
        <v>72</v>
      </c>
      <c r="G359" s="43">
        <v>5576000</v>
      </c>
      <c r="H359" s="43">
        <f>G359*11%</f>
        <v>613360</v>
      </c>
      <c r="I359" s="4"/>
      <c r="M359" s="5"/>
    </row>
    <row r="360" spans="1:13" ht="17.25" customHeight="1" x14ac:dyDescent="0.25">
      <c r="A360" s="11"/>
      <c r="B360" s="40"/>
      <c r="C360" s="41"/>
      <c r="D360" s="42"/>
      <c r="E360" s="42"/>
      <c r="F360" s="42"/>
      <c r="G360" s="43"/>
      <c r="H360" s="43"/>
      <c r="I360" s="4"/>
      <c r="M360" s="5"/>
    </row>
    <row r="361" spans="1:13" ht="17.25" customHeight="1" x14ac:dyDescent="0.25">
      <c r="A361" s="11">
        <v>45422</v>
      </c>
      <c r="B361" s="40" t="s">
        <v>993</v>
      </c>
      <c r="C361" s="41" t="s">
        <v>994</v>
      </c>
      <c r="D361" s="42" t="s">
        <v>995</v>
      </c>
      <c r="E361" s="42" t="s">
        <v>996</v>
      </c>
      <c r="F361" s="42" t="s">
        <v>997</v>
      </c>
      <c r="G361" s="43">
        <v>43900000</v>
      </c>
      <c r="H361" s="43">
        <f>G361*11%</f>
        <v>4829000</v>
      </c>
      <c r="I361" s="4"/>
      <c r="M361" s="5"/>
    </row>
    <row r="362" spans="1:13" ht="17.25" customHeight="1" x14ac:dyDescent="0.25">
      <c r="A362" s="17"/>
      <c r="B362" s="54"/>
      <c r="C362" s="55"/>
      <c r="D362" s="56"/>
      <c r="E362" s="56"/>
      <c r="F362" s="56"/>
      <c r="G362" s="57"/>
      <c r="H362" s="57"/>
      <c r="I362" s="4"/>
      <c r="M362" s="5"/>
    </row>
    <row r="363" spans="1:13" ht="17.25" customHeight="1" x14ac:dyDescent="0.25">
      <c r="A363" s="21">
        <v>45366</v>
      </c>
      <c r="B363" s="22" t="s">
        <v>998</v>
      </c>
      <c r="C363" s="23" t="s">
        <v>999</v>
      </c>
      <c r="D363" s="22" t="s">
        <v>33</v>
      </c>
      <c r="E363" s="22" t="s">
        <v>71</v>
      </c>
      <c r="F363" s="22" t="s">
        <v>1000</v>
      </c>
      <c r="G363" s="24">
        <v>133300833</v>
      </c>
      <c r="H363" s="24">
        <f>G363*11%-1</f>
        <v>14663090.630000001</v>
      </c>
      <c r="I363" s="4"/>
      <c r="M363" s="5"/>
    </row>
    <row r="364" spans="1:13" ht="17.25" customHeight="1" x14ac:dyDescent="0.25">
      <c r="A364" s="21">
        <v>45376</v>
      </c>
      <c r="B364" s="22" t="s">
        <v>1001</v>
      </c>
      <c r="C364" s="23" t="s">
        <v>1002</v>
      </c>
      <c r="D364" s="22" t="s">
        <v>33</v>
      </c>
      <c r="E364" s="22" t="s">
        <v>1003</v>
      </c>
      <c r="F364" s="22" t="s">
        <v>1004</v>
      </c>
      <c r="G364" s="24">
        <v>4154100</v>
      </c>
      <c r="H364" s="24">
        <f>G364*11%</f>
        <v>456951</v>
      </c>
      <c r="I364" s="4"/>
      <c r="M364" s="5"/>
    </row>
    <row r="365" spans="1:13" ht="17.25" customHeight="1" x14ac:dyDescent="0.25">
      <c r="A365" s="21">
        <v>45422</v>
      </c>
      <c r="B365" s="22" t="s">
        <v>1005</v>
      </c>
      <c r="C365" s="23" t="s">
        <v>1006</v>
      </c>
      <c r="D365" s="22" t="s">
        <v>865</v>
      </c>
      <c r="E365" s="22" t="s">
        <v>1007</v>
      </c>
      <c r="F365" s="22" t="s">
        <v>1008</v>
      </c>
      <c r="G365" s="24">
        <v>263354735</v>
      </c>
      <c r="H365" s="58">
        <f>G365*11%-1</f>
        <v>28969019.850000001</v>
      </c>
      <c r="I365" s="4"/>
      <c r="M365" s="5"/>
    </row>
    <row r="366" spans="1:13" ht="17.25" customHeight="1" x14ac:dyDescent="0.25">
      <c r="A366" s="11"/>
      <c r="B366" s="40"/>
      <c r="C366" s="41"/>
      <c r="D366" s="40"/>
      <c r="E366" s="40"/>
      <c r="F366" s="40"/>
      <c r="G366" s="59"/>
      <c r="H366" s="60"/>
      <c r="I366" s="4"/>
      <c r="M366" s="5"/>
    </row>
    <row r="367" spans="1:13" ht="17.25" customHeight="1" x14ac:dyDescent="0.25">
      <c r="A367" s="11">
        <v>45425</v>
      </c>
      <c r="B367" s="40" t="s">
        <v>1009</v>
      </c>
      <c r="C367" s="41" t="s">
        <v>1010</v>
      </c>
      <c r="D367" s="42" t="s">
        <v>995</v>
      </c>
      <c r="E367" s="42" t="s">
        <v>996</v>
      </c>
      <c r="F367" s="42" t="s">
        <v>1011</v>
      </c>
      <c r="G367" s="43">
        <v>22300000</v>
      </c>
      <c r="H367" s="43">
        <f>G367*11%</f>
        <v>2453000</v>
      </c>
      <c r="I367" s="4"/>
      <c r="M367" s="5"/>
    </row>
    <row r="368" spans="1:13" ht="17.25" customHeight="1" x14ac:dyDescent="0.25">
      <c r="A368" s="11">
        <v>45425</v>
      </c>
      <c r="B368" s="40" t="s">
        <v>1012</v>
      </c>
      <c r="C368" s="41" t="s">
        <v>1013</v>
      </c>
      <c r="D368" s="42" t="s">
        <v>15</v>
      </c>
      <c r="E368" s="42" t="s">
        <v>511</v>
      </c>
      <c r="F368" s="42" t="s">
        <v>124</v>
      </c>
      <c r="G368" s="43">
        <v>19423741</v>
      </c>
      <c r="H368" s="43">
        <f>G368*11%-1</f>
        <v>2136610.5100000002</v>
      </c>
      <c r="I368" s="4"/>
      <c r="M368" s="5"/>
    </row>
    <row r="369" spans="1:13" ht="17.25" customHeight="1" x14ac:dyDescent="0.2">
      <c r="A369" s="1"/>
      <c r="C369" s="3"/>
      <c r="G369" s="3"/>
      <c r="H369" s="3"/>
      <c r="I369" s="4"/>
      <c r="M369" s="5"/>
    </row>
    <row r="370" spans="1:13" ht="17.25" customHeight="1" x14ac:dyDescent="0.25">
      <c r="A370" s="11">
        <v>45425</v>
      </c>
      <c r="B370" s="40" t="s">
        <v>1014</v>
      </c>
      <c r="C370" s="41" t="s">
        <v>1015</v>
      </c>
      <c r="D370" s="42" t="s">
        <v>133</v>
      </c>
      <c r="E370" s="42" t="s">
        <v>134</v>
      </c>
      <c r="F370" s="42" t="s">
        <v>943</v>
      </c>
      <c r="G370" s="43">
        <v>13668400</v>
      </c>
      <c r="H370" s="43">
        <f t="shared" ref="H370:H381" si="7">G370*11%</f>
        <v>1503524</v>
      </c>
      <c r="I370" s="4"/>
      <c r="M370" s="5"/>
    </row>
    <row r="371" spans="1:13" ht="17.25" customHeight="1" x14ac:dyDescent="0.25">
      <c r="A371" s="11">
        <v>45425</v>
      </c>
      <c r="B371" s="40" t="s">
        <v>1016</v>
      </c>
      <c r="C371" s="41" t="s">
        <v>1017</v>
      </c>
      <c r="D371" s="42" t="s">
        <v>412</v>
      </c>
      <c r="E371" s="42" t="s">
        <v>317</v>
      </c>
      <c r="F371" s="42" t="s">
        <v>1018</v>
      </c>
      <c r="G371" s="43">
        <v>805000</v>
      </c>
      <c r="H371" s="43">
        <f t="shared" si="7"/>
        <v>88550</v>
      </c>
      <c r="I371" s="4"/>
      <c r="M371" s="5"/>
    </row>
    <row r="372" spans="1:13" ht="17.25" customHeight="1" x14ac:dyDescent="0.25">
      <c r="A372" s="11">
        <v>45427</v>
      </c>
      <c r="B372" s="40" t="s">
        <v>1019</v>
      </c>
      <c r="C372" s="41" t="s">
        <v>1020</v>
      </c>
      <c r="D372" s="42" t="s">
        <v>15</v>
      </c>
      <c r="E372" s="42" t="s">
        <v>532</v>
      </c>
      <c r="F372" s="42" t="s">
        <v>72</v>
      </c>
      <c r="G372" s="43">
        <v>7980000</v>
      </c>
      <c r="H372" s="43">
        <f t="shared" si="7"/>
        <v>877800</v>
      </c>
      <c r="I372" s="4"/>
      <c r="M372" s="5"/>
    </row>
    <row r="373" spans="1:13" ht="17.25" customHeight="1" x14ac:dyDescent="0.25">
      <c r="A373" s="11">
        <v>45427</v>
      </c>
      <c r="B373" s="40" t="s">
        <v>1021</v>
      </c>
      <c r="C373" s="41" t="s">
        <v>1022</v>
      </c>
      <c r="D373" s="42" t="s">
        <v>898</v>
      </c>
      <c r="E373" s="42" t="s">
        <v>1023</v>
      </c>
      <c r="F373" s="42" t="s">
        <v>333</v>
      </c>
      <c r="G373" s="43">
        <v>750000</v>
      </c>
      <c r="H373" s="43">
        <v>82500</v>
      </c>
      <c r="I373" s="4"/>
      <c r="M373" s="5"/>
    </row>
    <row r="374" spans="1:13" ht="17.25" customHeight="1" x14ac:dyDescent="0.25">
      <c r="A374" s="11">
        <v>45427</v>
      </c>
      <c r="B374" s="40" t="s">
        <v>1024</v>
      </c>
      <c r="C374" s="41" t="s">
        <v>1025</v>
      </c>
      <c r="D374" s="42" t="s">
        <v>898</v>
      </c>
      <c r="E374" s="42" t="s">
        <v>1023</v>
      </c>
      <c r="F374" s="42" t="s">
        <v>1026</v>
      </c>
      <c r="G374" s="43">
        <v>3821000</v>
      </c>
      <c r="H374" s="43">
        <v>420310</v>
      </c>
      <c r="I374" s="4"/>
      <c r="M374" s="5"/>
    </row>
    <row r="375" spans="1:13" ht="17.25" customHeight="1" x14ac:dyDescent="0.25">
      <c r="A375" s="11">
        <v>45427</v>
      </c>
      <c r="B375" s="40" t="s">
        <v>1027</v>
      </c>
      <c r="C375" s="41" t="s">
        <v>1028</v>
      </c>
      <c r="D375" s="42" t="s">
        <v>15</v>
      </c>
      <c r="E375" s="42" t="s">
        <v>612</v>
      </c>
      <c r="F375" s="42" t="s">
        <v>561</v>
      </c>
      <c r="G375" s="43">
        <v>6913240</v>
      </c>
      <c r="H375" s="43">
        <v>760456</v>
      </c>
      <c r="I375" s="4"/>
      <c r="M375" s="5"/>
    </row>
    <row r="376" spans="1:13" ht="17.25" customHeight="1" x14ac:dyDescent="0.25">
      <c r="A376" s="11">
        <v>45427</v>
      </c>
      <c r="B376" s="40" t="s">
        <v>1029</v>
      </c>
      <c r="C376" s="41" t="s">
        <v>1030</v>
      </c>
      <c r="D376" s="42" t="s">
        <v>15</v>
      </c>
      <c r="E376" s="42" t="s">
        <v>612</v>
      </c>
      <c r="F376" s="42" t="s">
        <v>656</v>
      </c>
      <c r="G376" s="43">
        <v>5367010</v>
      </c>
      <c r="H376" s="43">
        <v>590371</v>
      </c>
      <c r="I376" s="4"/>
      <c r="M376" s="5"/>
    </row>
    <row r="377" spans="1:13" ht="17.25" customHeight="1" x14ac:dyDescent="0.25">
      <c r="A377" s="11">
        <v>45427</v>
      </c>
      <c r="B377" s="40" t="s">
        <v>1031</v>
      </c>
      <c r="C377" s="41" t="s">
        <v>1032</v>
      </c>
      <c r="D377" s="42" t="s">
        <v>15</v>
      </c>
      <c r="E377" s="42" t="s">
        <v>376</v>
      </c>
      <c r="F377" s="42" t="s">
        <v>1033</v>
      </c>
      <c r="G377" s="43">
        <v>2000000</v>
      </c>
      <c r="H377" s="43">
        <v>220000</v>
      </c>
      <c r="I377" s="25">
        <v>45474</v>
      </c>
      <c r="J377" s="26"/>
      <c r="M377" s="5"/>
    </row>
    <row r="378" spans="1:13" ht="17.25" customHeight="1" x14ac:dyDescent="0.25">
      <c r="A378" s="11">
        <v>45427</v>
      </c>
      <c r="B378" s="40" t="s">
        <v>1034</v>
      </c>
      <c r="C378" s="41" t="s">
        <v>1035</v>
      </c>
      <c r="D378" s="42" t="s">
        <v>15</v>
      </c>
      <c r="E378" s="42" t="s">
        <v>376</v>
      </c>
      <c r="F378" s="42" t="s">
        <v>1036</v>
      </c>
      <c r="G378" s="43">
        <v>2100000</v>
      </c>
      <c r="H378" s="43">
        <f t="shared" si="7"/>
        <v>231000</v>
      </c>
      <c r="I378" s="25"/>
      <c r="J378" s="26"/>
      <c r="M378" s="5"/>
    </row>
    <row r="379" spans="1:13" ht="17.25" customHeight="1" x14ac:dyDescent="0.25">
      <c r="A379" s="11">
        <v>45427</v>
      </c>
      <c r="B379" s="40" t="s">
        <v>1037</v>
      </c>
      <c r="C379" s="41" t="s">
        <v>1038</v>
      </c>
      <c r="D379" s="42" t="s">
        <v>15</v>
      </c>
      <c r="E379" s="42" t="s">
        <v>376</v>
      </c>
      <c r="F379" s="42" t="s">
        <v>1039</v>
      </c>
      <c r="G379" s="43">
        <v>4700000</v>
      </c>
      <c r="H379" s="43">
        <f t="shared" si="7"/>
        <v>517000</v>
      </c>
      <c r="I379" s="25"/>
      <c r="J379" s="26"/>
      <c r="M379" s="5"/>
    </row>
    <row r="380" spans="1:13" ht="17.25" customHeight="1" x14ac:dyDescent="0.25">
      <c r="A380" s="11">
        <v>45427</v>
      </c>
      <c r="B380" s="40" t="s">
        <v>1040</v>
      </c>
      <c r="C380" s="41" t="s">
        <v>1041</v>
      </c>
      <c r="D380" s="42" t="s">
        <v>15</v>
      </c>
      <c r="E380" s="42" t="s">
        <v>376</v>
      </c>
      <c r="F380" s="42" t="s">
        <v>1042</v>
      </c>
      <c r="G380" s="43">
        <v>1700000</v>
      </c>
      <c r="H380" s="43">
        <f t="shared" si="7"/>
        <v>187000</v>
      </c>
      <c r="I380" s="4"/>
      <c r="K380" s="26"/>
      <c r="L380" s="26"/>
      <c r="M380" s="27"/>
    </row>
    <row r="381" spans="1:13" ht="17.25" customHeight="1" x14ac:dyDescent="0.25">
      <c r="A381" s="11">
        <v>45427</v>
      </c>
      <c r="B381" s="40" t="s">
        <v>1043</v>
      </c>
      <c r="C381" s="41" t="s">
        <v>1044</v>
      </c>
      <c r="D381" s="42" t="s">
        <v>15</v>
      </c>
      <c r="E381" s="42" t="s">
        <v>376</v>
      </c>
      <c r="F381" s="42" t="s">
        <v>1045</v>
      </c>
      <c r="G381" s="43">
        <v>3700000</v>
      </c>
      <c r="H381" s="43">
        <f t="shared" si="7"/>
        <v>407000</v>
      </c>
      <c r="I381" s="4"/>
      <c r="K381" s="26"/>
      <c r="L381" s="26"/>
      <c r="M381" s="27"/>
    </row>
    <row r="382" spans="1:13" ht="17.25" customHeight="1" x14ac:dyDescent="0.25">
      <c r="A382" s="11">
        <v>45427</v>
      </c>
      <c r="B382" s="40" t="s">
        <v>1046</v>
      </c>
      <c r="C382" s="41" t="s">
        <v>1047</v>
      </c>
      <c r="D382" s="42" t="s">
        <v>412</v>
      </c>
      <c r="E382" s="42" t="s">
        <v>317</v>
      </c>
      <c r="F382" s="42" t="s">
        <v>1048</v>
      </c>
      <c r="G382" s="43">
        <v>670834</v>
      </c>
      <c r="H382" s="43">
        <v>73791</v>
      </c>
      <c r="I382" s="4"/>
      <c r="K382" s="26"/>
      <c r="L382" s="26"/>
      <c r="M382" s="27"/>
    </row>
    <row r="383" spans="1:13" ht="17.25" customHeight="1" x14ac:dyDescent="0.25">
      <c r="A383" s="11">
        <v>45427</v>
      </c>
      <c r="B383" s="40" t="s">
        <v>1049</v>
      </c>
      <c r="C383" s="41" t="s">
        <v>1050</v>
      </c>
      <c r="D383" s="42" t="s">
        <v>15</v>
      </c>
      <c r="E383" s="42" t="s">
        <v>756</v>
      </c>
      <c r="F383" s="42" t="s">
        <v>943</v>
      </c>
      <c r="G383" s="43">
        <v>3366000</v>
      </c>
      <c r="H383" s="43">
        <f t="shared" ref="H383:H392" si="8">G383*11%</f>
        <v>370260</v>
      </c>
      <c r="I383" s="4"/>
      <c r="M383" s="5"/>
    </row>
    <row r="384" spans="1:13" ht="17.25" customHeight="1" x14ac:dyDescent="0.25">
      <c r="A384" s="11">
        <v>45433</v>
      </c>
      <c r="B384" s="40" t="s">
        <v>1051</v>
      </c>
      <c r="C384" s="41" t="s">
        <v>1052</v>
      </c>
      <c r="D384" s="42" t="s">
        <v>15</v>
      </c>
      <c r="E384" s="42" t="s">
        <v>532</v>
      </c>
      <c r="F384" s="42" t="s">
        <v>72</v>
      </c>
      <c r="G384" s="43">
        <v>4530000</v>
      </c>
      <c r="H384" s="43">
        <f t="shared" si="8"/>
        <v>498300</v>
      </c>
      <c r="I384" s="4"/>
      <c r="M384" s="5"/>
    </row>
    <row r="385" spans="1:13" ht="17.25" customHeight="1" x14ac:dyDescent="0.25">
      <c r="A385" s="11">
        <v>45434</v>
      </c>
      <c r="B385" s="40" t="s">
        <v>1053</v>
      </c>
      <c r="C385" s="41" t="s">
        <v>1054</v>
      </c>
      <c r="D385" s="42" t="s">
        <v>865</v>
      </c>
      <c r="E385" s="42" t="s">
        <v>1055</v>
      </c>
      <c r="F385" s="42" t="s">
        <v>72</v>
      </c>
      <c r="G385" s="43">
        <v>2000000</v>
      </c>
      <c r="H385" s="43">
        <f t="shared" si="8"/>
        <v>220000</v>
      </c>
      <c r="I385" s="4"/>
      <c r="M385" s="5"/>
    </row>
    <row r="386" spans="1:13" ht="17.25" customHeight="1" x14ac:dyDescent="0.25">
      <c r="A386" s="11">
        <v>45434</v>
      </c>
      <c r="B386" s="40" t="s">
        <v>1056</v>
      </c>
      <c r="C386" s="41" t="s">
        <v>1057</v>
      </c>
      <c r="D386" s="42" t="s">
        <v>898</v>
      </c>
      <c r="E386" s="42" t="s">
        <v>1058</v>
      </c>
      <c r="F386" s="42" t="s">
        <v>333</v>
      </c>
      <c r="G386" s="43">
        <v>1500000</v>
      </c>
      <c r="H386" s="43">
        <f t="shared" si="8"/>
        <v>165000</v>
      </c>
      <c r="I386" s="4"/>
      <c r="M386" s="5"/>
    </row>
    <row r="387" spans="1:13" ht="17.25" customHeight="1" x14ac:dyDescent="0.25">
      <c r="A387" s="11">
        <v>45434</v>
      </c>
      <c r="B387" s="40" t="s">
        <v>1059</v>
      </c>
      <c r="C387" s="41" t="s">
        <v>1060</v>
      </c>
      <c r="D387" s="42" t="s">
        <v>898</v>
      </c>
      <c r="E387" s="42" t="s">
        <v>1058</v>
      </c>
      <c r="F387" s="42" t="s">
        <v>1061</v>
      </c>
      <c r="G387" s="43">
        <v>3830000</v>
      </c>
      <c r="H387" s="43">
        <f t="shared" si="8"/>
        <v>421300</v>
      </c>
      <c r="I387" s="4"/>
      <c r="M387" s="5"/>
    </row>
    <row r="388" spans="1:13" ht="17.25" customHeight="1" x14ac:dyDescent="0.25">
      <c r="A388" s="11">
        <v>45434</v>
      </c>
      <c r="B388" s="40" t="s">
        <v>1062</v>
      </c>
      <c r="C388" s="41" t="s">
        <v>1063</v>
      </c>
      <c r="D388" s="42" t="s">
        <v>898</v>
      </c>
      <c r="E388" s="42" t="s">
        <v>1064</v>
      </c>
      <c r="F388" s="42" t="s">
        <v>333</v>
      </c>
      <c r="G388" s="43">
        <v>750000</v>
      </c>
      <c r="H388" s="43">
        <f t="shared" si="8"/>
        <v>82500</v>
      </c>
      <c r="I388" s="4"/>
      <c r="M388" s="5"/>
    </row>
    <row r="389" spans="1:13" ht="17.25" customHeight="1" x14ac:dyDescent="0.25">
      <c r="A389" s="11">
        <v>45434</v>
      </c>
      <c r="B389" s="40" t="s">
        <v>1065</v>
      </c>
      <c r="C389" s="41" t="s">
        <v>1066</v>
      </c>
      <c r="D389" s="42" t="s">
        <v>898</v>
      </c>
      <c r="E389" s="42" t="s">
        <v>1064</v>
      </c>
      <c r="F389" s="42" t="s">
        <v>1067</v>
      </c>
      <c r="G389" s="43">
        <v>3212000</v>
      </c>
      <c r="H389" s="43">
        <f t="shared" si="8"/>
        <v>353320</v>
      </c>
      <c r="I389" s="4"/>
      <c r="M389" s="5"/>
    </row>
    <row r="390" spans="1:13" ht="17.25" customHeight="1" x14ac:dyDescent="0.25">
      <c r="A390" s="11">
        <v>45434</v>
      </c>
      <c r="B390" s="40" t="s">
        <v>1068</v>
      </c>
      <c r="C390" s="41" t="s">
        <v>1069</v>
      </c>
      <c r="D390" s="42" t="s">
        <v>898</v>
      </c>
      <c r="E390" s="42" t="s">
        <v>1070</v>
      </c>
      <c r="F390" s="42" t="s">
        <v>333</v>
      </c>
      <c r="G390" s="43">
        <v>1250000</v>
      </c>
      <c r="H390" s="43">
        <f t="shared" si="8"/>
        <v>137500</v>
      </c>
      <c r="I390" s="4"/>
      <c r="M390" s="5"/>
    </row>
    <row r="391" spans="1:13" ht="17.25" customHeight="1" x14ac:dyDescent="0.25">
      <c r="A391" s="11">
        <v>45434</v>
      </c>
      <c r="B391" s="40" t="s">
        <v>1071</v>
      </c>
      <c r="C391" s="41" t="s">
        <v>1072</v>
      </c>
      <c r="D391" s="42" t="s">
        <v>898</v>
      </c>
      <c r="E391" s="42" t="s">
        <v>1070</v>
      </c>
      <c r="F391" s="42" t="s">
        <v>1073</v>
      </c>
      <c r="G391" s="43">
        <v>4337500</v>
      </c>
      <c r="H391" s="43">
        <f t="shared" si="8"/>
        <v>477125</v>
      </c>
      <c r="I391" s="4"/>
      <c r="M391" s="5"/>
    </row>
    <row r="392" spans="1:13" ht="17.25" customHeight="1" x14ac:dyDescent="0.25">
      <c r="A392" s="11">
        <v>45435</v>
      </c>
      <c r="B392" s="40" t="s">
        <v>1074</v>
      </c>
      <c r="C392" s="41" t="s">
        <v>1075</v>
      </c>
      <c r="D392" s="42" t="s">
        <v>15</v>
      </c>
      <c r="E392" s="42" t="s">
        <v>532</v>
      </c>
      <c r="F392" s="42" t="s">
        <v>72</v>
      </c>
      <c r="G392" s="43">
        <v>760000</v>
      </c>
      <c r="H392" s="43">
        <f t="shared" si="8"/>
        <v>83600</v>
      </c>
      <c r="I392" s="4"/>
      <c r="M392" s="5"/>
    </row>
    <row r="393" spans="1:13" ht="17.25" customHeight="1" x14ac:dyDescent="0.25">
      <c r="A393" s="11">
        <v>45435</v>
      </c>
      <c r="B393" s="40" t="s">
        <v>1076</v>
      </c>
      <c r="C393" s="41" t="s">
        <v>1077</v>
      </c>
      <c r="D393" s="42" t="s">
        <v>15</v>
      </c>
      <c r="E393" s="42" t="s">
        <v>42</v>
      </c>
      <c r="F393" s="42" t="s">
        <v>1078</v>
      </c>
      <c r="G393" s="43">
        <v>18807250</v>
      </c>
      <c r="H393" s="43">
        <f>G393*11%-1</f>
        <v>2068796.5</v>
      </c>
      <c r="I393" s="4"/>
      <c r="M393" s="5"/>
    </row>
    <row r="394" spans="1:13" ht="17.25" customHeight="1" x14ac:dyDescent="0.25">
      <c r="A394" s="11"/>
      <c r="B394" s="40"/>
      <c r="C394" s="41"/>
      <c r="D394" s="42"/>
      <c r="E394" s="42"/>
      <c r="F394" s="42"/>
      <c r="G394" s="43"/>
      <c r="H394" s="43"/>
      <c r="I394" s="4"/>
      <c r="M394" s="5"/>
    </row>
    <row r="395" spans="1:13" ht="17.25" customHeight="1" x14ac:dyDescent="0.25">
      <c r="A395" s="11">
        <v>45435</v>
      </c>
      <c r="B395" s="40" t="s">
        <v>1079</v>
      </c>
      <c r="C395" s="41" t="s">
        <v>1080</v>
      </c>
      <c r="D395" s="42" t="s">
        <v>15</v>
      </c>
      <c r="E395" s="42" t="s">
        <v>1081</v>
      </c>
      <c r="F395" s="42" t="s">
        <v>172</v>
      </c>
      <c r="G395" s="43">
        <v>45127939</v>
      </c>
      <c r="H395" s="43">
        <f t="shared" ref="H395:H407" si="9">G395*11%</f>
        <v>4964073.29</v>
      </c>
      <c r="I395" s="4"/>
      <c r="M395" s="5"/>
    </row>
    <row r="396" spans="1:13" ht="17.25" customHeight="1" x14ac:dyDescent="0.25">
      <c r="A396" s="11">
        <v>45436</v>
      </c>
      <c r="B396" s="40" t="s">
        <v>1082</v>
      </c>
      <c r="C396" s="41" t="s">
        <v>1083</v>
      </c>
      <c r="D396" s="42" t="s">
        <v>328</v>
      </c>
      <c r="E396" s="42" t="s">
        <v>500</v>
      </c>
      <c r="F396" s="42" t="s">
        <v>943</v>
      </c>
      <c r="G396" s="43">
        <v>21449083</v>
      </c>
      <c r="H396" s="43">
        <f t="shared" si="9"/>
        <v>2359399.13</v>
      </c>
      <c r="I396" s="4"/>
      <c r="M396" s="5"/>
    </row>
    <row r="397" spans="1:13" ht="17.25" customHeight="1" x14ac:dyDescent="0.25">
      <c r="A397" s="11">
        <v>45436</v>
      </c>
      <c r="B397" s="40" t="s">
        <v>1084</v>
      </c>
      <c r="C397" s="41" t="s">
        <v>1085</v>
      </c>
      <c r="D397" s="42" t="s">
        <v>328</v>
      </c>
      <c r="E397" s="42" t="s">
        <v>246</v>
      </c>
      <c r="F397" s="42" t="s">
        <v>943</v>
      </c>
      <c r="G397" s="43">
        <v>5077500</v>
      </c>
      <c r="H397" s="43">
        <f t="shared" si="9"/>
        <v>558525</v>
      </c>
      <c r="I397" s="4"/>
      <c r="M397" s="5"/>
    </row>
    <row r="398" spans="1:13" ht="17.25" customHeight="1" x14ac:dyDescent="0.25">
      <c r="A398" s="11">
        <v>45436</v>
      </c>
      <c r="B398" s="40" t="s">
        <v>1086</v>
      </c>
      <c r="C398" s="41" t="s">
        <v>1087</v>
      </c>
      <c r="D398" s="42" t="s">
        <v>328</v>
      </c>
      <c r="E398" s="42" t="s">
        <v>246</v>
      </c>
      <c r="F398" s="42" t="s">
        <v>1088</v>
      </c>
      <c r="G398" s="43">
        <v>2939840</v>
      </c>
      <c r="H398" s="43">
        <f t="shared" si="9"/>
        <v>323382.40000000002</v>
      </c>
      <c r="I398" s="4"/>
      <c r="M398" s="5"/>
    </row>
    <row r="399" spans="1:13" ht="17.25" customHeight="1" x14ac:dyDescent="0.25">
      <c r="A399" s="11">
        <v>45436</v>
      </c>
      <c r="B399" s="40" t="s">
        <v>1089</v>
      </c>
      <c r="C399" s="41" t="s">
        <v>1090</v>
      </c>
      <c r="D399" s="42" t="s">
        <v>328</v>
      </c>
      <c r="E399" s="42" t="s">
        <v>1091</v>
      </c>
      <c r="F399" s="42" t="s">
        <v>1092</v>
      </c>
      <c r="G399" s="43">
        <v>32410</v>
      </c>
      <c r="H399" s="43">
        <f t="shared" si="9"/>
        <v>3565.1</v>
      </c>
      <c r="I399" s="4"/>
      <c r="M399" s="5"/>
    </row>
    <row r="400" spans="1:13" ht="17.25" customHeight="1" x14ac:dyDescent="0.25">
      <c r="A400" s="11">
        <v>45437</v>
      </c>
      <c r="B400" s="40" t="s">
        <v>1093</v>
      </c>
      <c r="C400" s="41" t="s">
        <v>1094</v>
      </c>
      <c r="D400" s="42" t="s">
        <v>865</v>
      </c>
      <c r="E400" s="42" t="s">
        <v>948</v>
      </c>
      <c r="F400" s="42" t="s">
        <v>72</v>
      </c>
      <c r="G400" s="43">
        <v>4000000</v>
      </c>
      <c r="H400" s="43">
        <f t="shared" si="9"/>
        <v>440000</v>
      </c>
      <c r="I400" s="4"/>
      <c r="M400" s="5"/>
    </row>
    <row r="401" spans="1:13" ht="17.25" customHeight="1" x14ac:dyDescent="0.25">
      <c r="A401" s="11">
        <v>45439</v>
      </c>
      <c r="B401" s="40" t="s">
        <v>1095</v>
      </c>
      <c r="C401" s="41" t="s">
        <v>1096</v>
      </c>
      <c r="D401" s="42" t="s">
        <v>15</v>
      </c>
      <c r="E401" s="42" t="s">
        <v>532</v>
      </c>
      <c r="F401" s="42" t="s">
        <v>72</v>
      </c>
      <c r="G401" s="43">
        <v>1020000</v>
      </c>
      <c r="H401" s="43">
        <f t="shared" si="9"/>
        <v>112200</v>
      </c>
      <c r="I401" s="4"/>
      <c r="M401" s="5"/>
    </row>
    <row r="402" spans="1:13" ht="17.25" customHeight="1" x14ac:dyDescent="0.25">
      <c r="A402" s="11">
        <v>45439</v>
      </c>
      <c r="B402" s="40" t="s">
        <v>1097</v>
      </c>
      <c r="C402" s="41" t="s">
        <v>1098</v>
      </c>
      <c r="D402" s="42" t="s">
        <v>87</v>
      </c>
      <c r="E402" s="42" t="s">
        <v>221</v>
      </c>
      <c r="F402" s="42" t="s">
        <v>124</v>
      </c>
      <c r="G402" s="43">
        <v>184480774</v>
      </c>
      <c r="H402" s="43">
        <f t="shared" si="9"/>
        <v>20292885.140000001</v>
      </c>
      <c r="I402" s="4"/>
      <c r="M402" s="5"/>
    </row>
    <row r="403" spans="1:13" ht="17.25" customHeight="1" x14ac:dyDescent="0.25">
      <c r="A403" s="11">
        <v>45439</v>
      </c>
      <c r="B403" s="40" t="s">
        <v>1099</v>
      </c>
      <c r="C403" s="41" t="s">
        <v>1100</v>
      </c>
      <c r="D403" s="42" t="s">
        <v>87</v>
      </c>
      <c r="E403" s="42" t="s">
        <v>221</v>
      </c>
      <c r="F403" s="42" t="s">
        <v>341</v>
      </c>
      <c r="G403" s="43">
        <v>179044991</v>
      </c>
      <c r="H403" s="43">
        <f t="shared" si="9"/>
        <v>19694949.010000002</v>
      </c>
      <c r="I403" s="4"/>
      <c r="M403" s="5"/>
    </row>
    <row r="404" spans="1:13" ht="17.25" customHeight="1" x14ac:dyDescent="0.25">
      <c r="A404" s="11">
        <v>45439</v>
      </c>
      <c r="B404" s="40" t="s">
        <v>1101</v>
      </c>
      <c r="C404" s="41" t="s">
        <v>1102</v>
      </c>
      <c r="D404" s="42" t="s">
        <v>15</v>
      </c>
      <c r="E404" s="42" t="s">
        <v>1103</v>
      </c>
      <c r="F404" s="42" t="s">
        <v>943</v>
      </c>
      <c r="G404" s="43">
        <v>53075410</v>
      </c>
      <c r="H404" s="43">
        <f t="shared" si="9"/>
        <v>5838295.0999999996</v>
      </c>
      <c r="I404" s="4"/>
      <c r="M404" s="5"/>
    </row>
    <row r="405" spans="1:13" ht="17.25" customHeight="1" x14ac:dyDescent="0.25">
      <c r="A405" s="11">
        <v>45439</v>
      </c>
      <c r="B405" s="40" t="s">
        <v>1104</v>
      </c>
      <c r="C405" s="41" t="s">
        <v>1105</v>
      </c>
      <c r="D405" s="42" t="s">
        <v>46</v>
      </c>
      <c r="E405" s="42" t="s">
        <v>57</v>
      </c>
      <c r="F405" s="42" t="s">
        <v>1106</v>
      </c>
      <c r="G405" s="43">
        <v>20105500</v>
      </c>
      <c r="H405" s="43">
        <f t="shared" si="9"/>
        <v>2211605</v>
      </c>
      <c r="I405" s="4"/>
      <c r="M405" s="5"/>
    </row>
    <row r="406" spans="1:13" ht="17.25" customHeight="1" x14ac:dyDescent="0.25">
      <c r="A406" s="11">
        <v>45439</v>
      </c>
      <c r="B406" s="40" t="s">
        <v>1107</v>
      </c>
      <c r="C406" s="41" t="s">
        <v>1108</v>
      </c>
      <c r="D406" s="42" t="s">
        <v>46</v>
      </c>
      <c r="E406" s="42" t="s">
        <v>57</v>
      </c>
      <c r="F406" s="42" t="s">
        <v>1109</v>
      </c>
      <c r="G406" s="43">
        <v>6372000</v>
      </c>
      <c r="H406" s="43">
        <f t="shared" si="9"/>
        <v>700920</v>
      </c>
      <c r="I406" s="4"/>
      <c r="M406" s="5"/>
    </row>
    <row r="407" spans="1:13" ht="17.25" customHeight="1" x14ac:dyDescent="0.25">
      <c r="A407" s="11">
        <v>45440</v>
      </c>
      <c r="B407" s="40" t="s">
        <v>1110</v>
      </c>
      <c r="C407" s="41" t="s">
        <v>1111</v>
      </c>
      <c r="D407" s="42" t="s">
        <v>865</v>
      </c>
      <c r="E407" s="42" t="s">
        <v>948</v>
      </c>
      <c r="F407" s="42" t="s">
        <v>72</v>
      </c>
      <c r="G407" s="43">
        <v>6000000</v>
      </c>
      <c r="H407" s="43">
        <f t="shared" si="9"/>
        <v>660000</v>
      </c>
      <c r="I407" s="4"/>
      <c r="M407" s="5"/>
    </row>
    <row r="408" spans="1:13" ht="17.25" customHeight="1" x14ac:dyDescent="0.25">
      <c r="A408" s="11">
        <v>45443</v>
      </c>
      <c r="B408" s="40" t="s">
        <v>1112</v>
      </c>
      <c r="C408" s="41" t="s">
        <v>1113</v>
      </c>
      <c r="D408" s="42" t="s">
        <v>340</v>
      </c>
      <c r="E408" s="42" t="s">
        <v>199</v>
      </c>
      <c r="F408" s="42" t="s">
        <v>1114</v>
      </c>
      <c r="G408" s="43">
        <v>236206135</v>
      </c>
      <c r="H408" s="43">
        <f>G408*11%-1</f>
        <v>25982673.850000001</v>
      </c>
      <c r="I408" s="4"/>
      <c r="M408" s="5"/>
    </row>
    <row r="409" spans="1:13" ht="17.25" customHeight="1" x14ac:dyDescent="0.25">
      <c r="A409" s="11">
        <v>45443</v>
      </c>
      <c r="B409" s="40" t="s">
        <v>1115</v>
      </c>
      <c r="C409" s="41" t="s">
        <v>1116</v>
      </c>
      <c r="D409" s="42" t="s">
        <v>340</v>
      </c>
      <c r="E409" s="42" t="s">
        <v>350</v>
      </c>
      <c r="F409" s="42" t="s">
        <v>1114</v>
      </c>
      <c r="G409" s="43">
        <v>46922765</v>
      </c>
      <c r="H409" s="43">
        <f>G409*11%</f>
        <v>5161504.1500000004</v>
      </c>
      <c r="I409" s="4"/>
      <c r="M409" s="5"/>
    </row>
    <row r="410" spans="1:13" ht="17.25" customHeight="1" x14ac:dyDescent="0.25">
      <c r="A410" s="11">
        <v>45443</v>
      </c>
      <c r="B410" s="40" t="s">
        <v>1117</v>
      </c>
      <c r="C410" s="41" t="s">
        <v>1118</v>
      </c>
      <c r="D410" s="42" t="s">
        <v>340</v>
      </c>
      <c r="E410" s="42" t="s">
        <v>1119</v>
      </c>
      <c r="F410" s="42" t="s">
        <v>1120</v>
      </c>
      <c r="G410" s="43">
        <v>820860</v>
      </c>
      <c r="H410" s="43">
        <f>G410*11%-1</f>
        <v>90293.6</v>
      </c>
      <c r="I410" s="4"/>
      <c r="M410" s="5"/>
    </row>
    <row r="411" spans="1:13" ht="17.25" customHeight="1" x14ac:dyDescent="0.25">
      <c r="A411" s="11"/>
      <c r="B411" s="40"/>
      <c r="C411" s="41"/>
      <c r="D411" s="42"/>
      <c r="E411" s="42"/>
      <c r="F411" s="42"/>
      <c r="G411" s="43"/>
      <c r="H411" s="43"/>
      <c r="I411" s="4"/>
      <c r="M411" s="5"/>
    </row>
    <row r="412" spans="1:13" ht="17.25" customHeight="1" x14ac:dyDescent="0.25">
      <c r="A412" s="11">
        <v>45446</v>
      </c>
      <c r="B412" s="40" t="s">
        <v>1121</v>
      </c>
      <c r="C412" s="41" t="s">
        <v>1122</v>
      </c>
      <c r="D412" s="42" t="s">
        <v>371</v>
      </c>
      <c r="E412" s="42" t="s">
        <v>962</v>
      </c>
      <c r="F412" s="42" t="s">
        <v>943</v>
      </c>
      <c r="G412" s="43">
        <v>319000</v>
      </c>
      <c r="H412" s="43">
        <f>G412*11%</f>
        <v>35090</v>
      </c>
      <c r="I412" s="4"/>
      <c r="M412" s="5"/>
    </row>
    <row r="413" spans="1:13" ht="17.25" customHeight="1" x14ac:dyDescent="0.25">
      <c r="A413" s="11">
        <v>45446</v>
      </c>
      <c r="B413" s="40" t="s">
        <v>1123</v>
      </c>
      <c r="C413" s="41" t="s">
        <v>1124</v>
      </c>
      <c r="D413" s="42" t="s">
        <v>46</v>
      </c>
      <c r="E413" s="42" t="s">
        <v>57</v>
      </c>
      <c r="F413" s="42" t="s">
        <v>1125</v>
      </c>
      <c r="G413" s="43">
        <v>8032000</v>
      </c>
      <c r="H413" s="43">
        <f>G413*11%</f>
        <v>883520</v>
      </c>
      <c r="I413" s="4"/>
      <c r="M413" s="5"/>
    </row>
    <row r="414" spans="1:13" ht="17.25" customHeight="1" x14ac:dyDescent="0.25">
      <c r="A414" s="11">
        <v>45446</v>
      </c>
      <c r="B414" s="40" t="s">
        <v>1126</v>
      </c>
      <c r="C414" s="41" t="s">
        <v>1127</v>
      </c>
      <c r="D414" s="42" t="s">
        <v>46</v>
      </c>
      <c r="E414" s="42" t="s">
        <v>57</v>
      </c>
      <c r="F414" s="42" t="s">
        <v>1128</v>
      </c>
      <c r="G414" s="43">
        <v>8032000</v>
      </c>
      <c r="H414" s="43">
        <f>G414*11%</f>
        <v>883520</v>
      </c>
      <c r="I414" s="4"/>
      <c r="M414" s="5"/>
    </row>
    <row r="415" spans="1:13" ht="17.25" customHeight="1" x14ac:dyDescent="0.25">
      <c r="A415" s="11">
        <v>45446</v>
      </c>
      <c r="B415" s="40" t="s">
        <v>1129</v>
      </c>
      <c r="C415" s="41" t="s">
        <v>1130</v>
      </c>
      <c r="D415" s="42" t="s">
        <v>33</v>
      </c>
      <c r="E415" s="42" t="s">
        <v>1131</v>
      </c>
      <c r="F415" s="42" t="s">
        <v>124</v>
      </c>
      <c r="G415" s="43">
        <v>2005363</v>
      </c>
      <c r="H415" s="43">
        <f>G415*11%-1</f>
        <v>220588.93</v>
      </c>
      <c r="I415" s="4"/>
      <c r="M415" s="5"/>
    </row>
    <row r="416" spans="1:13" ht="17.25" customHeight="1" x14ac:dyDescent="0.25">
      <c r="A416" s="11">
        <v>45446</v>
      </c>
      <c r="B416" s="40" t="s">
        <v>1132</v>
      </c>
      <c r="C416" s="41" t="s">
        <v>1133</v>
      </c>
      <c r="D416" s="42" t="s">
        <v>33</v>
      </c>
      <c r="E416" s="42" t="s">
        <v>1134</v>
      </c>
      <c r="F416" s="42" t="s">
        <v>341</v>
      </c>
      <c r="G416" s="43">
        <v>2005363</v>
      </c>
      <c r="H416" s="43">
        <f>G416*11%-1</f>
        <v>220588.93</v>
      </c>
      <c r="I416" s="4"/>
      <c r="M416" s="5"/>
    </row>
    <row r="417" spans="1:13" ht="17.25" customHeight="1" x14ac:dyDescent="0.25">
      <c r="A417" s="11">
        <v>45446</v>
      </c>
      <c r="B417" s="40" t="s">
        <v>1135</v>
      </c>
      <c r="C417" s="41" t="s">
        <v>1136</v>
      </c>
      <c r="D417" s="42" t="s">
        <v>33</v>
      </c>
      <c r="E417" s="42" t="s">
        <v>1137</v>
      </c>
      <c r="F417" s="42" t="s">
        <v>561</v>
      </c>
      <c r="G417" s="43">
        <v>1874918</v>
      </c>
      <c r="H417" s="43">
        <f>G417*11%-1</f>
        <v>206239.98</v>
      </c>
      <c r="I417" s="4"/>
      <c r="M417" s="5"/>
    </row>
    <row r="418" spans="1:13" ht="17.25" customHeight="1" x14ac:dyDescent="0.25">
      <c r="A418" s="11">
        <v>45446</v>
      </c>
      <c r="B418" s="40" t="s">
        <v>1138</v>
      </c>
      <c r="C418" s="41" t="s">
        <v>1139</v>
      </c>
      <c r="D418" s="42" t="s">
        <v>33</v>
      </c>
      <c r="E418" s="42" t="s">
        <v>1140</v>
      </c>
      <c r="F418" s="42" t="s">
        <v>1141</v>
      </c>
      <c r="G418" s="43">
        <v>165320</v>
      </c>
      <c r="H418" s="43">
        <f>G418*11%</f>
        <v>18185.2</v>
      </c>
      <c r="I418" s="4"/>
      <c r="M418" s="5"/>
    </row>
    <row r="419" spans="1:13" ht="17.25" customHeight="1" x14ac:dyDescent="0.25">
      <c r="A419" s="11">
        <v>45446</v>
      </c>
      <c r="B419" s="40" t="s">
        <v>1142</v>
      </c>
      <c r="C419" s="41" t="s">
        <v>1143</v>
      </c>
      <c r="D419" s="42" t="s">
        <v>33</v>
      </c>
      <c r="E419" s="42" t="s">
        <v>1144</v>
      </c>
      <c r="F419" s="42" t="s">
        <v>1145</v>
      </c>
      <c r="G419" s="43">
        <v>1417500</v>
      </c>
      <c r="H419" s="43">
        <f>G419*11%</f>
        <v>155925</v>
      </c>
      <c r="I419" s="4"/>
      <c r="M419" s="5"/>
    </row>
    <row r="420" spans="1:13" ht="17.25" customHeight="1" x14ac:dyDescent="0.25">
      <c r="A420" s="11">
        <v>45446</v>
      </c>
      <c r="B420" s="40" t="s">
        <v>1146</v>
      </c>
      <c r="C420" s="41" t="s">
        <v>1147</v>
      </c>
      <c r="D420" s="42" t="s">
        <v>33</v>
      </c>
      <c r="E420" s="42" t="s">
        <v>1148</v>
      </c>
      <c r="F420" s="42" t="s">
        <v>1149</v>
      </c>
      <c r="G420" s="43">
        <v>5685533</v>
      </c>
      <c r="H420" s="43">
        <f>G420*11%-1</f>
        <v>625407.63</v>
      </c>
      <c r="I420" s="4"/>
      <c r="M420" s="5"/>
    </row>
    <row r="421" spans="1:13" ht="17.25" customHeight="1" x14ac:dyDescent="0.25">
      <c r="A421" s="11">
        <v>45448</v>
      </c>
      <c r="B421" s="40" t="s">
        <v>1150</v>
      </c>
      <c r="C421" s="41" t="s">
        <v>1151</v>
      </c>
      <c r="D421" s="42" t="s">
        <v>15</v>
      </c>
      <c r="E421" s="42" t="s">
        <v>1152</v>
      </c>
      <c r="F421" s="42" t="s">
        <v>943</v>
      </c>
      <c r="G421" s="43">
        <v>65891330</v>
      </c>
      <c r="H421" s="43">
        <f t="shared" ref="H421:H430" si="10">G421*11%</f>
        <v>7248046.2999999998</v>
      </c>
      <c r="I421" s="4"/>
      <c r="M421" s="5"/>
    </row>
    <row r="422" spans="1:13" ht="17.25" customHeight="1" x14ac:dyDescent="0.25">
      <c r="A422" s="11">
        <v>45448</v>
      </c>
      <c r="B422" s="40" t="s">
        <v>1153</v>
      </c>
      <c r="C422" s="41" t="s">
        <v>1154</v>
      </c>
      <c r="D422" s="42" t="s">
        <v>33</v>
      </c>
      <c r="E422" s="42" t="s">
        <v>1155</v>
      </c>
      <c r="F422" s="42" t="s">
        <v>72</v>
      </c>
      <c r="G422" s="43">
        <v>4000000</v>
      </c>
      <c r="H422" s="43">
        <f t="shared" si="10"/>
        <v>440000</v>
      </c>
      <c r="I422" s="4"/>
      <c r="M422" s="5"/>
    </row>
    <row r="423" spans="1:13" ht="17.25" customHeight="1" x14ac:dyDescent="0.25">
      <c r="A423" s="11">
        <v>45448</v>
      </c>
      <c r="B423" s="40" t="s">
        <v>1156</v>
      </c>
      <c r="C423" s="41" t="s">
        <v>1157</v>
      </c>
      <c r="D423" s="42" t="s">
        <v>898</v>
      </c>
      <c r="E423" s="42" t="s">
        <v>1158</v>
      </c>
      <c r="F423" s="42" t="s">
        <v>1159</v>
      </c>
      <c r="G423" s="43">
        <v>1500000</v>
      </c>
      <c r="H423" s="43">
        <f t="shared" si="10"/>
        <v>165000</v>
      </c>
      <c r="I423" s="4"/>
      <c r="M423" s="5"/>
    </row>
    <row r="424" spans="1:13" ht="17.25" customHeight="1" x14ac:dyDescent="0.25">
      <c r="A424" s="11">
        <v>45448</v>
      </c>
      <c r="B424" s="40" t="s">
        <v>1160</v>
      </c>
      <c r="C424" s="41" t="s">
        <v>1161</v>
      </c>
      <c r="D424" s="42" t="s">
        <v>15</v>
      </c>
      <c r="E424" s="42" t="s">
        <v>1162</v>
      </c>
      <c r="F424" s="42" t="s">
        <v>943</v>
      </c>
      <c r="G424" s="43">
        <v>417167692</v>
      </c>
      <c r="H424" s="43">
        <f t="shared" si="10"/>
        <v>45888446.119999997</v>
      </c>
      <c r="I424" s="4"/>
      <c r="M424" s="5"/>
    </row>
    <row r="425" spans="1:13" ht="17.25" customHeight="1" x14ac:dyDescent="0.25">
      <c r="A425" s="11">
        <v>45449</v>
      </c>
      <c r="B425" s="40" t="s">
        <v>1163</v>
      </c>
      <c r="C425" s="41" t="s">
        <v>1164</v>
      </c>
      <c r="D425" s="42" t="s">
        <v>33</v>
      </c>
      <c r="E425" s="42" t="s">
        <v>1165</v>
      </c>
      <c r="F425" s="42" t="s">
        <v>72</v>
      </c>
      <c r="G425" s="43">
        <v>8000000</v>
      </c>
      <c r="H425" s="43">
        <f t="shared" si="10"/>
        <v>880000</v>
      </c>
      <c r="I425" s="4"/>
      <c r="M425" s="5"/>
    </row>
    <row r="426" spans="1:13" ht="17.25" customHeight="1" x14ac:dyDescent="0.25">
      <c r="A426" s="11">
        <v>45449</v>
      </c>
      <c r="B426" s="40" t="s">
        <v>1166</v>
      </c>
      <c r="C426" s="41" t="s">
        <v>1167</v>
      </c>
      <c r="D426" s="42" t="s">
        <v>33</v>
      </c>
      <c r="E426" s="42" t="s">
        <v>1168</v>
      </c>
      <c r="F426" s="42" t="s">
        <v>72</v>
      </c>
      <c r="G426" s="43">
        <v>896000</v>
      </c>
      <c r="H426" s="43">
        <f t="shared" si="10"/>
        <v>98560</v>
      </c>
      <c r="I426" s="4"/>
      <c r="M426" s="5"/>
    </row>
    <row r="427" spans="1:13" ht="17.25" customHeight="1" x14ac:dyDescent="0.25">
      <c r="A427" s="11">
        <v>45449</v>
      </c>
      <c r="B427" s="40" t="s">
        <v>1169</v>
      </c>
      <c r="C427" s="41" t="s">
        <v>1170</v>
      </c>
      <c r="D427" s="42" t="s">
        <v>33</v>
      </c>
      <c r="E427" s="42" t="s">
        <v>1171</v>
      </c>
      <c r="F427" s="42" t="s">
        <v>72</v>
      </c>
      <c r="G427" s="43">
        <v>304000</v>
      </c>
      <c r="H427" s="43">
        <f t="shared" si="10"/>
        <v>33440</v>
      </c>
      <c r="I427" s="4"/>
      <c r="M427" s="5"/>
    </row>
    <row r="428" spans="1:13" ht="17.25" customHeight="1" x14ac:dyDescent="0.25">
      <c r="A428" s="11">
        <v>45450</v>
      </c>
      <c r="B428" s="40" t="s">
        <v>1172</v>
      </c>
      <c r="C428" s="41" t="s">
        <v>1173</v>
      </c>
      <c r="D428" s="42" t="s">
        <v>33</v>
      </c>
      <c r="E428" s="42" t="s">
        <v>948</v>
      </c>
      <c r="F428" s="42" t="s">
        <v>72</v>
      </c>
      <c r="G428" s="43">
        <v>4000000</v>
      </c>
      <c r="H428" s="43">
        <f t="shared" si="10"/>
        <v>440000</v>
      </c>
      <c r="I428" s="4"/>
      <c r="M428" s="5"/>
    </row>
    <row r="429" spans="1:13" ht="17.25" customHeight="1" x14ac:dyDescent="0.25">
      <c r="A429" s="11">
        <v>45450</v>
      </c>
      <c r="B429" s="40" t="s">
        <v>1174</v>
      </c>
      <c r="C429" s="41" t="s">
        <v>1175</v>
      </c>
      <c r="D429" s="42" t="s">
        <v>15</v>
      </c>
      <c r="E429" s="42" t="s">
        <v>1176</v>
      </c>
      <c r="F429" s="42" t="s">
        <v>1177</v>
      </c>
      <c r="G429" s="43">
        <v>14377610</v>
      </c>
      <c r="H429" s="43">
        <f t="shared" si="10"/>
        <v>1581537.1</v>
      </c>
      <c r="I429" s="4"/>
      <c r="M429" s="5"/>
    </row>
    <row r="430" spans="1:13" ht="17.25" customHeight="1" x14ac:dyDescent="0.25">
      <c r="A430" s="11">
        <v>45453</v>
      </c>
      <c r="B430" s="40" t="s">
        <v>1178</v>
      </c>
      <c r="C430" s="41" t="s">
        <v>1179</v>
      </c>
      <c r="D430" s="42" t="s">
        <v>15</v>
      </c>
      <c r="E430" s="42" t="s">
        <v>532</v>
      </c>
      <c r="F430" s="42" t="s">
        <v>72</v>
      </c>
      <c r="G430" s="43">
        <v>1172000</v>
      </c>
      <c r="H430" s="43">
        <f t="shared" si="10"/>
        <v>128920</v>
      </c>
      <c r="I430" s="4"/>
      <c r="M430" s="5"/>
    </row>
    <row r="431" spans="1:13" ht="17.25" customHeight="1" x14ac:dyDescent="0.25">
      <c r="A431" s="11">
        <v>45453</v>
      </c>
      <c r="B431" s="40" t="s">
        <v>1180</v>
      </c>
      <c r="C431" s="41" t="s">
        <v>1181</v>
      </c>
      <c r="D431" s="42" t="s">
        <v>412</v>
      </c>
      <c r="E431" s="42" t="s">
        <v>1182</v>
      </c>
      <c r="F431" s="42" t="s">
        <v>1183</v>
      </c>
      <c r="G431" s="43">
        <v>11128250</v>
      </c>
      <c r="H431" s="43">
        <f>G431*11%-1</f>
        <v>1224106.5</v>
      </c>
      <c r="I431" s="4"/>
      <c r="M431" s="5"/>
    </row>
    <row r="432" spans="1:13" ht="17.25" customHeight="1" x14ac:dyDescent="0.25">
      <c r="A432" s="11">
        <v>45453</v>
      </c>
      <c r="B432" s="40" t="s">
        <v>1184</v>
      </c>
      <c r="C432" s="41" t="s">
        <v>1185</v>
      </c>
      <c r="D432" s="42" t="s">
        <v>412</v>
      </c>
      <c r="E432" s="42" t="s">
        <v>1182</v>
      </c>
      <c r="F432" s="42" t="s">
        <v>1186</v>
      </c>
      <c r="G432" s="43">
        <v>11480508</v>
      </c>
      <c r="H432" s="43">
        <f>G432*11%-1</f>
        <v>1262854.8800000001</v>
      </c>
      <c r="I432" s="4"/>
      <c r="M432" s="5"/>
    </row>
    <row r="433" spans="1:13" ht="17.25" customHeight="1" x14ac:dyDescent="0.25">
      <c r="A433" s="11">
        <v>45453</v>
      </c>
      <c r="B433" s="40" t="s">
        <v>1187</v>
      </c>
      <c r="C433" s="41" t="s">
        <v>1188</v>
      </c>
      <c r="D433" s="42" t="s">
        <v>412</v>
      </c>
      <c r="E433" s="42" t="s">
        <v>1189</v>
      </c>
      <c r="F433" s="42" t="s">
        <v>561</v>
      </c>
      <c r="G433" s="43">
        <v>5455828</v>
      </c>
      <c r="H433" s="43">
        <f>G433*11%</f>
        <v>600141.07999999996</v>
      </c>
      <c r="I433" s="4"/>
      <c r="M433" s="5"/>
    </row>
    <row r="434" spans="1:13" ht="17.25" customHeight="1" x14ac:dyDescent="0.25">
      <c r="A434" s="11">
        <v>45453</v>
      </c>
      <c r="B434" s="40" t="s">
        <v>1190</v>
      </c>
      <c r="C434" s="41" t="s">
        <v>1191</v>
      </c>
      <c r="D434" s="42" t="s">
        <v>412</v>
      </c>
      <c r="E434" s="42" t="s">
        <v>1189</v>
      </c>
      <c r="F434" s="42" t="s">
        <v>656</v>
      </c>
      <c r="G434" s="43">
        <v>12679299</v>
      </c>
      <c r="H434" s="43">
        <f>G434*11%-1</f>
        <v>1394721.89</v>
      </c>
      <c r="I434" s="4"/>
      <c r="M434" s="5"/>
    </row>
    <row r="435" spans="1:13" ht="17.25" customHeight="1" x14ac:dyDescent="0.25">
      <c r="A435" s="11">
        <v>45453</v>
      </c>
      <c r="B435" s="40" t="s">
        <v>1192</v>
      </c>
      <c r="C435" s="41" t="s">
        <v>1193</v>
      </c>
      <c r="D435" s="42" t="s">
        <v>15</v>
      </c>
      <c r="E435" s="42" t="s">
        <v>1194</v>
      </c>
      <c r="F435" s="42" t="s">
        <v>175</v>
      </c>
      <c r="G435" s="43">
        <v>38344579</v>
      </c>
      <c r="H435" s="64">
        <f>G435*11%-1</f>
        <v>4217902.6900000004</v>
      </c>
      <c r="I435" s="4"/>
      <c r="M435" s="5"/>
    </row>
    <row r="436" spans="1:13" ht="17.25" customHeight="1" x14ac:dyDescent="0.25">
      <c r="A436" s="11">
        <v>45453</v>
      </c>
      <c r="B436" s="40" t="s">
        <v>1195</v>
      </c>
      <c r="C436" s="41" t="s">
        <v>1196</v>
      </c>
      <c r="D436" s="42" t="s">
        <v>15</v>
      </c>
      <c r="E436" s="42" t="s">
        <v>1194</v>
      </c>
      <c r="F436" s="42" t="s">
        <v>147</v>
      </c>
      <c r="G436" s="43">
        <v>24978668</v>
      </c>
      <c r="H436" s="43">
        <f>G436*11%</f>
        <v>2747653.48</v>
      </c>
      <c r="I436" s="4"/>
      <c r="M436" s="5"/>
    </row>
    <row r="437" spans="1:13" ht="17.25" customHeight="1" x14ac:dyDescent="0.25">
      <c r="A437" s="11">
        <v>45453</v>
      </c>
      <c r="B437" s="40" t="s">
        <v>1197</v>
      </c>
      <c r="C437" s="41" t="s">
        <v>1198</v>
      </c>
      <c r="D437" s="42" t="s">
        <v>15</v>
      </c>
      <c r="E437" s="42" t="s">
        <v>1194</v>
      </c>
      <c r="F437" s="42" t="s">
        <v>22</v>
      </c>
      <c r="G437" s="43">
        <v>21019900</v>
      </c>
      <c r="H437" s="43">
        <f>G437*11%</f>
        <v>2312189</v>
      </c>
      <c r="I437" s="4"/>
      <c r="M437" s="5"/>
    </row>
    <row r="438" spans="1:13" ht="17.25" customHeight="1" x14ac:dyDescent="0.25">
      <c r="A438" s="11">
        <v>45453</v>
      </c>
      <c r="B438" s="40" t="s">
        <v>1199</v>
      </c>
      <c r="C438" s="41" t="s">
        <v>1200</v>
      </c>
      <c r="D438" s="42" t="s">
        <v>15</v>
      </c>
      <c r="E438" s="42" t="s">
        <v>1194</v>
      </c>
      <c r="F438" s="42" t="s">
        <v>17</v>
      </c>
      <c r="G438" s="43">
        <v>13192786</v>
      </c>
      <c r="H438" s="43">
        <f>G438*11%</f>
        <v>1451206.46</v>
      </c>
      <c r="I438" s="4"/>
      <c r="M438" s="5"/>
    </row>
    <row r="439" spans="1:13" ht="17.25" customHeight="1" x14ac:dyDescent="0.25">
      <c r="A439" s="11">
        <v>45453</v>
      </c>
      <c r="B439" s="40" t="s">
        <v>1201</v>
      </c>
      <c r="C439" s="41" t="s">
        <v>1202</v>
      </c>
      <c r="D439" s="42" t="s">
        <v>15</v>
      </c>
      <c r="E439" s="42" t="s">
        <v>1194</v>
      </c>
      <c r="F439" s="42" t="s">
        <v>124</v>
      </c>
      <c r="G439" s="43">
        <v>9425159</v>
      </c>
      <c r="H439" s="43">
        <f>G439*11%</f>
        <v>1036767.49</v>
      </c>
      <c r="I439" s="4"/>
      <c r="M439" s="5"/>
    </row>
    <row r="440" spans="1:13" ht="17.25" customHeight="1" x14ac:dyDescent="0.25">
      <c r="A440" s="11">
        <v>45453</v>
      </c>
      <c r="B440" s="40" t="s">
        <v>1203</v>
      </c>
      <c r="C440" s="41" t="s">
        <v>1204</v>
      </c>
      <c r="D440" s="42" t="s">
        <v>15</v>
      </c>
      <c r="E440" s="42" t="s">
        <v>1194</v>
      </c>
      <c r="F440" s="42" t="s">
        <v>341</v>
      </c>
      <c r="G440" s="43">
        <v>9058120</v>
      </c>
      <c r="H440" s="43">
        <f>G440*11%</f>
        <v>996393.2</v>
      </c>
      <c r="I440" s="4"/>
      <c r="M440" s="5"/>
    </row>
    <row r="441" spans="1:13" ht="17.25" customHeight="1" x14ac:dyDescent="0.25">
      <c r="A441" s="11">
        <v>45453</v>
      </c>
      <c r="B441" s="40" t="s">
        <v>1205</v>
      </c>
      <c r="C441" s="41" t="s">
        <v>1206</v>
      </c>
      <c r="D441" s="42" t="s">
        <v>15</v>
      </c>
      <c r="E441" s="42" t="s">
        <v>1194</v>
      </c>
      <c r="F441" s="42" t="s">
        <v>561</v>
      </c>
      <c r="G441" s="43">
        <v>5684488</v>
      </c>
      <c r="H441" s="43">
        <f>G441*11%-1</f>
        <v>625292.68000000005</v>
      </c>
      <c r="I441" s="4"/>
      <c r="M441" s="5"/>
    </row>
    <row r="442" spans="1:13" ht="17.25" customHeight="1" x14ac:dyDescent="0.25">
      <c r="A442" s="11">
        <v>45453</v>
      </c>
      <c r="B442" s="40" t="s">
        <v>1207</v>
      </c>
      <c r="C442" s="41" t="s">
        <v>1208</v>
      </c>
      <c r="D442" s="42" t="s">
        <v>474</v>
      </c>
      <c r="E442" s="42" t="s">
        <v>475</v>
      </c>
      <c r="F442" s="42" t="s">
        <v>943</v>
      </c>
      <c r="G442" s="43">
        <v>10875160</v>
      </c>
      <c r="H442" s="43">
        <f>G442*11%-1</f>
        <v>1196266.6000000001</v>
      </c>
      <c r="I442" s="44"/>
      <c r="J442" s="61"/>
      <c r="M442" s="5"/>
    </row>
    <row r="443" spans="1:13" ht="17.25" customHeight="1" x14ac:dyDescent="0.25">
      <c r="A443" s="11">
        <v>45453</v>
      </c>
      <c r="B443" s="40" t="s">
        <v>1209</v>
      </c>
      <c r="C443" s="41" t="s">
        <v>1210</v>
      </c>
      <c r="D443" s="42" t="s">
        <v>359</v>
      </c>
      <c r="E443" s="42" t="s">
        <v>159</v>
      </c>
      <c r="F443" s="42" t="s">
        <v>943</v>
      </c>
      <c r="G443" s="43">
        <v>1968250</v>
      </c>
      <c r="H443" s="43">
        <f>G443*11%-1</f>
        <v>216506.5</v>
      </c>
      <c r="I443" s="4"/>
      <c r="M443" s="5"/>
    </row>
    <row r="444" spans="1:13" ht="17.25" customHeight="1" x14ac:dyDescent="0.25">
      <c r="A444" s="11">
        <v>45453</v>
      </c>
      <c r="B444" s="40" t="s">
        <v>1211</v>
      </c>
      <c r="C444" s="41" t="s">
        <v>1212</v>
      </c>
      <c r="D444" s="42" t="s">
        <v>359</v>
      </c>
      <c r="E444" s="42" t="s">
        <v>165</v>
      </c>
      <c r="F444" s="42" t="s">
        <v>943</v>
      </c>
      <c r="G444" s="43">
        <v>571000</v>
      </c>
      <c r="H444" s="43">
        <f>G444*11%</f>
        <v>62810</v>
      </c>
      <c r="I444" s="4"/>
      <c r="M444" s="5"/>
    </row>
    <row r="445" spans="1:13" ht="17.25" customHeight="1" x14ac:dyDescent="0.25">
      <c r="A445" s="11">
        <v>45453</v>
      </c>
      <c r="B445" s="40" t="s">
        <v>1213</v>
      </c>
      <c r="C445" s="41" t="s">
        <v>1214</v>
      </c>
      <c r="D445" s="42" t="s">
        <v>359</v>
      </c>
      <c r="E445" s="42" t="s">
        <v>367</v>
      </c>
      <c r="F445" s="42" t="s">
        <v>943</v>
      </c>
      <c r="G445" s="43">
        <v>1348170</v>
      </c>
      <c r="H445" s="43">
        <f>G445*11%-1</f>
        <v>148297.70000000001</v>
      </c>
      <c r="I445" s="4"/>
      <c r="M445" s="62">
        <f>J442*0.02</f>
        <v>0</v>
      </c>
    </row>
    <row r="446" spans="1:13" ht="17.25" customHeight="1" x14ac:dyDescent="0.25">
      <c r="A446" s="11">
        <v>45453</v>
      </c>
      <c r="B446" s="40" t="s">
        <v>1215</v>
      </c>
      <c r="C446" s="41" t="s">
        <v>1216</v>
      </c>
      <c r="D446" s="42" t="s">
        <v>359</v>
      </c>
      <c r="E446" s="42" t="s">
        <v>364</v>
      </c>
      <c r="F446" s="42" t="s">
        <v>618</v>
      </c>
      <c r="G446" s="43">
        <v>1800000</v>
      </c>
      <c r="H446" s="43">
        <f t="shared" ref="H446:H462" si="11">G446*11%</f>
        <v>198000</v>
      </c>
      <c r="I446" s="4"/>
      <c r="M446" s="5"/>
    </row>
    <row r="447" spans="1:13" ht="17.25" customHeight="1" x14ac:dyDescent="0.25">
      <c r="A447" s="11">
        <v>45453</v>
      </c>
      <c r="B447" s="40" t="s">
        <v>1217</v>
      </c>
      <c r="C447" s="41" t="s">
        <v>1218</v>
      </c>
      <c r="D447" s="42" t="s">
        <v>359</v>
      </c>
      <c r="E447" s="42" t="s">
        <v>364</v>
      </c>
      <c r="F447" s="42" t="s">
        <v>943</v>
      </c>
      <c r="G447" s="43">
        <v>7021740</v>
      </c>
      <c r="H447" s="43">
        <f t="shared" si="11"/>
        <v>772391.4</v>
      </c>
      <c r="I447" s="4"/>
      <c r="M447" s="5"/>
    </row>
    <row r="448" spans="1:13" ht="17.25" customHeight="1" x14ac:dyDescent="0.25">
      <c r="A448" s="11">
        <v>45456</v>
      </c>
      <c r="B448" s="40" t="s">
        <v>1219</v>
      </c>
      <c r="C448" s="41" t="s">
        <v>1220</v>
      </c>
      <c r="D448" s="42" t="s">
        <v>33</v>
      </c>
      <c r="E448" s="42" t="s">
        <v>1221</v>
      </c>
      <c r="F448" s="42" t="s">
        <v>943</v>
      </c>
      <c r="G448" s="43">
        <v>32116200</v>
      </c>
      <c r="H448" s="43">
        <f t="shared" si="11"/>
        <v>3532782</v>
      </c>
      <c r="I448" s="4"/>
      <c r="M448" s="5"/>
    </row>
    <row r="449" spans="1:13" ht="17.25" customHeight="1" x14ac:dyDescent="0.25">
      <c r="A449" s="11">
        <v>45456</v>
      </c>
      <c r="B449" s="40" t="s">
        <v>1222</v>
      </c>
      <c r="C449" s="41" t="s">
        <v>1223</v>
      </c>
      <c r="D449" s="42" t="s">
        <v>15</v>
      </c>
      <c r="E449" s="42" t="s">
        <v>532</v>
      </c>
      <c r="F449" s="42" t="s">
        <v>1141</v>
      </c>
      <c r="G449" s="43">
        <v>45000030</v>
      </c>
      <c r="H449" s="43">
        <f t="shared" si="11"/>
        <v>4950003.3</v>
      </c>
      <c r="I449" s="4"/>
      <c r="M449" s="5"/>
    </row>
    <row r="450" spans="1:13" ht="17.25" customHeight="1" x14ac:dyDescent="0.25">
      <c r="A450" s="11">
        <v>45456</v>
      </c>
      <c r="B450" s="40" t="s">
        <v>1224</v>
      </c>
      <c r="C450" s="41" t="s">
        <v>1225</v>
      </c>
      <c r="D450" s="42" t="s">
        <v>15</v>
      </c>
      <c r="E450" s="42" t="s">
        <v>532</v>
      </c>
      <c r="F450" s="42" t="s">
        <v>943</v>
      </c>
      <c r="G450" s="43">
        <v>110460600</v>
      </c>
      <c r="H450" s="43">
        <f t="shared" si="11"/>
        <v>12150666</v>
      </c>
      <c r="I450" s="4"/>
      <c r="M450" s="5"/>
    </row>
    <row r="451" spans="1:13" ht="17.25" customHeight="1" x14ac:dyDescent="0.25">
      <c r="A451" s="11">
        <v>45456</v>
      </c>
      <c r="B451" s="40" t="s">
        <v>1226</v>
      </c>
      <c r="C451" s="41" t="s">
        <v>1227</v>
      </c>
      <c r="D451" s="42" t="s">
        <v>15</v>
      </c>
      <c r="E451" s="42" t="s">
        <v>511</v>
      </c>
      <c r="F451" s="42" t="s">
        <v>341</v>
      </c>
      <c r="G451" s="43">
        <v>27632230</v>
      </c>
      <c r="H451" s="43">
        <f t="shared" si="11"/>
        <v>3039545.3</v>
      </c>
      <c r="I451" s="63"/>
      <c r="M451" s="5"/>
    </row>
    <row r="452" spans="1:13" ht="17.25" customHeight="1" x14ac:dyDescent="0.25">
      <c r="A452" s="11">
        <v>45456</v>
      </c>
      <c r="B452" s="40" t="s">
        <v>1228</v>
      </c>
      <c r="C452" s="41" t="s">
        <v>1229</v>
      </c>
      <c r="D452" s="42" t="s">
        <v>15</v>
      </c>
      <c r="E452" s="42" t="s">
        <v>849</v>
      </c>
      <c r="F452" s="42" t="s">
        <v>561</v>
      </c>
      <c r="G452" s="43">
        <v>25147300</v>
      </c>
      <c r="H452" s="43">
        <f t="shared" si="11"/>
        <v>2766203</v>
      </c>
      <c r="I452" s="63"/>
      <c r="M452" s="5"/>
    </row>
    <row r="453" spans="1:13" ht="17.25" customHeight="1" x14ac:dyDescent="0.25">
      <c r="A453" s="11">
        <v>45456</v>
      </c>
      <c r="B453" s="40" t="s">
        <v>1230</v>
      </c>
      <c r="C453" s="41" t="s">
        <v>1231</v>
      </c>
      <c r="D453" s="42" t="s">
        <v>506</v>
      </c>
      <c r="E453" s="42" t="s">
        <v>1232</v>
      </c>
      <c r="F453" s="42" t="s">
        <v>72</v>
      </c>
      <c r="G453" s="43">
        <v>67500000</v>
      </c>
      <c r="H453" s="43">
        <f t="shared" si="11"/>
        <v>7425000</v>
      </c>
      <c r="I453" s="4"/>
      <c r="M453" s="5"/>
    </row>
    <row r="454" spans="1:13" ht="17.25" customHeight="1" x14ac:dyDescent="0.25">
      <c r="A454" s="11">
        <v>45456</v>
      </c>
      <c r="B454" s="40" t="s">
        <v>1233</v>
      </c>
      <c r="C454" s="41" t="s">
        <v>1234</v>
      </c>
      <c r="D454" s="42" t="s">
        <v>33</v>
      </c>
      <c r="E454" s="42" t="s">
        <v>948</v>
      </c>
      <c r="F454" s="42" t="s">
        <v>72</v>
      </c>
      <c r="G454" s="43">
        <v>6576000</v>
      </c>
      <c r="H454" s="43">
        <f t="shared" si="11"/>
        <v>723360</v>
      </c>
      <c r="I454" s="4"/>
      <c r="M454" s="5"/>
    </row>
    <row r="455" spans="1:13" ht="17.25" customHeight="1" x14ac:dyDescent="0.25">
      <c r="A455" s="11">
        <v>45456</v>
      </c>
      <c r="B455" s="40" t="s">
        <v>1235</v>
      </c>
      <c r="C455" s="41" t="s">
        <v>1236</v>
      </c>
      <c r="D455" s="42" t="s">
        <v>133</v>
      </c>
      <c r="E455" s="42" t="s">
        <v>134</v>
      </c>
      <c r="F455" s="42" t="s">
        <v>1114</v>
      </c>
      <c r="G455" s="43">
        <v>10913520</v>
      </c>
      <c r="H455" s="43">
        <f t="shared" si="11"/>
        <v>1200487.2</v>
      </c>
      <c r="I455" s="4"/>
      <c r="M455" s="5"/>
    </row>
    <row r="456" spans="1:13" ht="17.25" customHeight="1" x14ac:dyDescent="0.25">
      <c r="A456" s="11">
        <v>45456</v>
      </c>
      <c r="B456" s="40" t="s">
        <v>1237</v>
      </c>
      <c r="C456" s="41" t="s">
        <v>1238</v>
      </c>
      <c r="D456" s="42" t="s">
        <v>33</v>
      </c>
      <c r="E456" s="42" t="s">
        <v>1239</v>
      </c>
      <c r="F456" s="42" t="s">
        <v>1240</v>
      </c>
      <c r="G456" s="43">
        <v>109261500</v>
      </c>
      <c r="H456" s="43">
        <f t="shared" si="11"/>
        <v>12018765</v>
      </c>
      <c r="I456" s="4"/>
      <c r="M456" s="5"/>
    </row>
    <row r="457" spans="1:13" ht="17.25" customHeight="1" x14ac:dyDescent="0.25">
      <c r="A457" s="11">
        <v>45456</v>
      </c>
      <c r="B457" s="40" t="s">
        <v>1241</v>
      </c>
      <c r="C457" s="41" t="s">
        <v>1242</v>
      </c>
      <c r="D457" s="42" t="s">
        <v>33</v>
      </c>
      <c r="E457" s="42" t="s">
        <v>1243</v>
      </c>
      <c r="F457" s="42" t="s">
        <v>1244</v>
      </c>
      <c r="G457" s="43">
        <v>51053500</v>
      </c>
      <c r="H457" s="43">
        <f t="shared" si="11"/>
        <v>5615885</v>
      </c>
      <c r="I457" s="4"/>
      <c r="M457" s="5"/>
    </row>
    <row r="458" spans="1:13" ht="17.25" customHeight="1" x14ac:dyDescent="0.25">
      <c r="A458" s="11">
        <v>45458</v>
      </c>
      <c r="B458" s="40" t="s">
        <v>1245</v>
      </c>
      <c r="C458" s="41" t="s">
        <v>1246</v>
      </c>
      <c r="D458" s="42" t="s">
        <v>33</v>
      </c>
      <c r="E458" s="42" t="s">
        <v>948</v>
      </c>
      <c r="F458" s="42" t="s">
        <v>72</v>
      </c>
      <c r="G458" s="43">
        <v>8000000</v>
      </c>
      <c r="H458" s="43">
        <f t="shared" si="11"/>
        <v>880000</v>
      </c>
      <c r="I458" s="4"/>
      <c r="M458" s="5"/>
    </row>
    <row r="459" spans="1:13" ht="17.25" customHeight="1" x14ac:dyDescent="0.25">
      <c r="A459" s="11">
        <v>45458</v>
      </c>
      <c r="B459" s="40" t="s">
        <v>1247</v>
      </c>
      <c r="C459" s="41" t="s">
        <v>1248</v>
      </c>
      <c r="D459" s="42" t="s">
        <v>995</v>
      </c>
      <c r="E459" s="42" t="s">
        <v>996</v>
      </c>
      <c r="F459" s="42" t="s">
        <v>1249</v>
      </c>
      <c r="G459" s="43">
        <v>150000</v>
      </c>
      <c r="H459" s="43">
        <f t="shared" si="11"/>
        <v>16500</v>
      </c>
      <c r="I459" s="4"/>
      <c r="M459" s="5"/>
    </row>
    <row r="460" spans="1:13" ht="17.25" customHeight="1" x14ac:dyDescent="0.25">
      <c r="A460" s="11">
        <v>45462</v>
      </c>
      <c r="B460" s="40" t="s">
        <v>1250</v>
      </c>
      <c r="C460" s="41" t="s">
        <v>1251</v>
      </c>
      <c r="D460" s="42" t="s">
        <v>1252</v>
      </c>
      <c r="E460" s="42" t="s">
        <v>1253</v>
      </c>
      <c r="F460" s="42" t="s">
        <v>333</v>
      </c>
      <c r="G460" s="43">
        <v>1700000</v>
      </c>
      <c r="H460" s="43">
        <f t="shared" si="11"/>
        <v>187000</v>
      </c>
      <c r="I460" s="4"/>
      <c r="M460" s="5"/>
    </row>
    <row r="461" spans="1:13" ht="17.25" customHeight="1" x14ac:dyDescent="0.25">
      <c r="A461" s="11">
        <v>45462</v>
      </c>
      <c r="B461" s="40" t="s">
        <v>1254</v>
      </c>
      <c r="C461" s="41" t="s">
        <v>1255</v>
      </c>
      <c r="D461" s="42" t="s">
        <v>1252</v>
      </c>
      <c r="E461" s="42" t="s">
        <v>1253</v>
      </c>
      <c r="F461" s="42" t="s">
        <v>1256</v>
      </c>
      <c r="G461" s="43">
        <v>14215000</v>
      </c>
      <c r="H461" s="43">
        <f t="shared" si="11"/>
        <v>1563650</v>
      </c>
      <c r="I461" s="4"/>
      <c r="M461" s="5"/>
    </row>
    <row r="462" spans="1:13" ht="17.25" customHeight="1" x14ac:dyDescent="0.25">
      <c r="A462" s="11">
        <v>45462</v>
      </c>
      <c r="B462" s="40" t="s">
        <v>1257</v>
      </c>
      <c r="C462" s="41" t="s">
        <v>1258</v>
      </c>
      <c r="D462" s="42" t="s">
        <v>137</v>
      </c>
      <c r="E462" s="42" t="s">
        <v>966</v>
      </c>
      <c r="F462" s="42" t="s">
        <v>943</v>
      </c>
      <c r="G462" s="43">
        <v>873710</v>
      </c>
      <c r="H462" s="43">
        <f t="shared" si="11"/>
        <v>96108.1</v>
      </c>
      <c r="I462" s="4"/>
      <c r="M462" s="5"/>
    </row>
    <row r="463" spans="1:13" ht="17.25" customHeight="1" x14ac:dyDescent="0.25">
      <c r="A463" s="11">
        <v>45462</v>
      </c>
      <c r="B463" s="40" t="s">
        <v>1259</v>
      </c>
      <c r="C463" s="41" t="s">
        <v>1260</v>
      </c>
      <c r="D463" s="42" t="s">
        <v>137</v>
      </c>
      <c r="E463" s="42" t="s">
        <v>966</v>
      </c>
      <c r="F463" s="42" t="s">
        <v>1114</v>
      </c>
      <c r="G463" s="43">
        <v>120060</v>
      </c>
      <c r="H463" s="43">
        <f>G463*11%-1</f>
        <v>13205.6</v>
      </c>
      <c r="I463" s="4"/>
      <c r="M463" s="5"/>
    </row>
    <row r="464" spans="1:13" ht="17.25" customHeight="1" x14ac:dyDescent="0.25">
      <c r="A464" s="11">
        <v>45462</v>
      </c>
      <c r="B464" s="40" t="s">
        <v>1261</v>
      </c>
      <c r="C464" s="41" t="s">
        <v>1262</v>
      </c>
      <c r="D464" s="42" t="s">
        <v>137</v>
      </c>
      <c r="E464" s="42" t="s">
        <v>494</v>
      </c>
      <c r="F464" s="42" t="s">
        <v>943</v>
      </c>
      <c r="G464" s="43">
        <v>191440</v>
      </c>
      <c r="H464" s="43">
        <f>G464*11%</f>
        <v>21058.400000000001</v>
      </c>
      <c r="I464" s="4"/>
      <c r="M464" s="5"/>
    </row>
    <row r="465" spans="1:13" ht="17.25" customHeight="1" x14ac:dyDescent="0.25">
      <c r="A465" s="11">
        <v>45462</v>
      </c>
      <c r="B465" s="40" t="s">
        <v>1263</v>
      </c>
      <c r="C465" s="41" t="s">
        <v>1264</v>
      </c>
      <c r="D465" s="42" t="s">
        <v>137</v>
      </c>
      <c r="E465" s="42" t="s">
        <v>494</v>
      </c>
      <c r="F465" s="42" t="s">
        <v>1114</v>
      </c>
      <c r="G465" s="43">
        <v>191440</v>
      </c>
      <c r="H465" s="43">
        <f>G465*11%</f>
        <v>21058.400000000001</v>
      </c>
      <c r="I465" s="4"/>
      <c r="M465" s="5"/>
    </row>
    <row r="466" spans="1:13" ht="17.25" customHeight="1" x14ac:dyDescent="0.25">
      <c r="A466" s="11">
        <v>45462</v>
      </c>
      <c r="B466" s="40" t="s">
        <v>1265</v>
      </c>
      <c r="C466" s="41" t="s">
        <v>1266</v>
      </c>
      <c r="D466" s="42" t="s">
        <v>137</v>
      </c>
      <c r="E466" s="42" t="s">
        <v>1267</v>
      </c>
      <c r="F466" s="42" t="s">
        <v>943</v>
      </c>
      <c r="G466" s="43">
        <v>351000</v>
      </c>
      <c r="H466" s="43">
        <f>G466*11%</f>
        <v>38610</v>
      </c>
      <c r="I466" s="4"/>
      <c r="M466" s="5"/>
    </row>
    <row r="467" spans="1:13" ht="17.25" customHeight="1" x14ac:dyDescent="0.25">
      <c r="A467" s="11">
        <v>45462</v>
      </c>
      <c r="B467" s="40" t="s">
        <v>1268</v>
      </c>
      <c r="C467" s="41" t="s">
        <v>1269</v>
      </c>
      <c r="D467" s="42" t="s">
        <v>137</v>
      </c>
      <c r="E467" s="42" t="s">
        <v>1267</v>
      </c>
      <c r="F467" s="42" t="s">
        <v>1114</v>
      </c>
      <c r="G467" s="43">
        <v>111150</v>
      </c>
      <c r="H467" s="43">
        <f>G467*11%-1</f>
        <v>12225.5</v>
      </c>
      <c r="I467" s="4"/>
      <c r="M467" s="5"/>
    </row>
    <row r="468" spans="1:13" ht="17.25" customHeight="1" x14ac:dyDescent="0.25">
      <c r="A468" s="11">
        <v>45462</v>
      </c>
      <c r="B468" s="40" t="s">
        <v>1270</v>
      </c>
      <c r="C468" s="41" t="s">
        <v>1271</v>
      </c>
      <c r="D468" s="42" t="s">
        <v>137</v>
      </c>
      <c r="E468" s="42" t="s">
        <v>159</v>
      </c>
      <c r="F468" s="42" t="s">
        <v>943</v>
      </c>
      <c r="G468" s="43">
        <v>459000</v>
      </c>
      <c r="H468" s="43">
        <f>G468*11%</f>
        <v>50490</v>
      </c>
      <c r="I468" s="4"/>
      <c r="M468" s="5"/>
    </row>
    <row r="469" spans="1:13" ht="17.25" customHeight="1" x14ac:dyDescent="0.25">
      <c r="A469" s="11">
        <v>45462</v>
      </c>
      <c r="B469" s="40" t="s">
        <v>1272</v>
      </c>
      <c r="C469" s="41" t="s">
        <v>1273</v>
      </c>
      <c r="D469" s="42" t="s">
        <v>137</v>
      </c>
      <c r="E469" s="42" t="s">
        <v>159</v>
      </c>
      <c r="F469" s="42" t="s">
        <v>1114</v>
      </c>
      <c r="G469" s="43">
        <v>229500</v>
      </c>
      <c r="H469" s="43">
        <f>G469*11%</f>
        <v>25245</v>
      </c>
      <c r="I469" s="4"/>
      <c r="M469" s="5"/>
    </row>
    <row r="470" spans="1:13" ht="17.25" customHeight="1" x14ac:dyDescent="0.25">
      <c r="A470" s="11">
        <v>45462</v>
      </c>
      <c r="B470" s="40" t="s">
        <v>1274</v>
      </c>
      <c r="C470" s="41" t="s">
        <v>1275</v>
      </c>
      <c r="D470" s="42" t="s">
        <v>15</v>
      </c>
      <c r="E470" s="42" t="s">
        <v>511</v>
      </c>
      <c r="F470" s="42" t="s">
        <v>561</v>
      </c>
      <c r="G470" s="43">
        <v>20362506</v>
      </c>
      <c r="H470" s="43">
        <f>G470*11%-1</f>
        <v>2239874.66</v>
      </c>
      <c r="I470" s="4"/>
      <c r="M470" s="5"/>
    </row>
    <row r="471" spans="1:13" ht="17.25" customHeight="1" x14ac:dyDescent="0.25">
      <c r="A471" s="11">
        <v>45462</v>
      </c>
      <c r="B471" s="40" t="s">
        <v>1276</v>
      </c>
      <c r="C471" s="41" t="s">
        <v>1277</v>
      </c>
      <c r="D471" s="42" t="s">
        <v>15</v>
      </c>
      <c r="E471" s="42" t="s">
        <v>1278</v>
      </c>
      <c r="F471" s="42" t="s">
        <v>656</v>
      </c>
      <c r="G471" s="43">
        <v>3930800</v>
      </c>
      <c r="H471" s="43">
        <f t="shared" ref="H471:H481" si="12">G471*11%</f>
        <v>432388</v>
      </c>
      <c r="I471" s="4"/>
      <c r="M471" s="5"/>
    </row>
    <row r="472" spans="1:13" ht="17.25" customHeight="1" x14ac:dyDescent="0.25">
      <c r="A472" s="11">
        <v>45462</v>
      </c>
      <c r="B472" s="40" t="s">
        <v>1279</v>
      </c>
      <c r="C472" s="41" t="s">
        <v>1280</v>
      </c>
      <c r="D472" s="42" t="s">
        <v>15</v>
      </c>
      <c r="E472" s="42" t="s">
        <v>1281</v>
      </c>
      <c r="F472" s="42" t="s">
        <v>1282</v>
      </c>
      <c r="G472" s="43">
        <v>39000</v>
      </c>
      <c r="H472" s="43">
        <f t="shared" si="12"/>
        <v>4290</v>
      </c>
      <c r="I472" s="4"/>
      <c r="M472" s="5"/>
    </row>
    <row r="473" spans="1:13" ht="17.25" customHeight="1" x14ac:dyDescent="0.25">
      <c r="A473" s="11">
        <v>45462</v>
      </c>
      <c r="B473" s="40" t="s">
        <v>1283</v>
      </c>
      <c r="C473" s="41" t="s">
        <v>1284</v>
      </c>
      <c r="D473" s="42" t="s">
        <v>15</v>
      </c>
      <c r="E473" s="42" t="s">
        <v>1281</v>
      </c>
      <c r="F473" s="42" t="s">
        <v>561</v>
      </c>
      <c r="G473" s="43">
        <v>585000</v>
      </c>
      <c r="H473" s="43">
        <f t="shared" si="12"/>
        <v>64350</v>
      </c>
      <c r="I473" s="4"/>
      <c r="M473" s="5"/>
    </row>
    <row r="474" spans="1:13" ht="17.25" customHeight="1" x14ac:dyDescent="0.25">
      <c r="A474" s="11">
        <v>45462</v>
      </c>
      <c r="B474" s="40" t="s">
        <v>1285</v>
      </c>
      <c r="C474" s="41" t="s">
        <v>1286</v>
      </c>
      <c r="D474" s="42" t="s">
        <v>15</v>
      </c>
      <c r="E474" s="42" t="s">
        <v>1281</v>
      </c>
      <c r="F474" s="42" t="s">
        <v>656</v>
      </c>
      <c r="G474" s="43">
        <v>630000</v>
      </c>
      <c r="H474" s="43">
        <f t="shared" si="12"/>
        <v>69300</v>
      </c>
      <c r="I474" s="4"/>
      <c r="M474" s="5"/>
    </row>
    <row r="475" spans="1:13" ht="17.25" customHeight="1" x14ac:dyDescent="0.25">
      <c r="A475" s="11">
        <v>45462</v>
      </c>
      <c r="B475" s="40" t="s">
        <v>1287</v>
      </c>
      <c r="C475" s="41" t="s">
        <v>1288</v>
      </c>
      <c r="D475" s="42" t="s">
        <v>15</v>
      </c>
      <c r="E475" s="42" t="s">
        <v>1281</v>
      </c>
      <c r="F475" s="42" t="s">
        <v>943</v>
      </c>
      <c r="G475" s="43">
        <v>810000</v>
      </c>
      <c r="H475" s="43">
        <f t="shared" si="12"/>
        <v>89100</v>
      </c>
      <c r="I475" s="4"/>
      <c r="M475" s="5"/>
    </row>
    <row r="476" spans="1:13" ht="17.25" customHeight="1" x14ac:dyDescent="0.25">
      <c r="A476" s="11">
        <v>45462</v>
      </c>
      <c r="B476" s="40" t="s">
        <v>1289</v>
      </c>
      <c r="C476" s="41" t="s">
        <v>1290</v>
      </c>
      <c r="D476" s="42" t="s">
        <v>15</v>
      </c>
      <c r="E476" s="42" t="s">
        <v>1281</v>
      </c>
      <c r="F476" s="42" t="s">
        <v>1114</v>
      </c>
      <c r="G476" s="43">
        <v>810000</v>
      </c>
      <c r="H476" s="43">
        <f t="shared" si="12"/>
        <v>89100</v>
      </c>
      <c r="I476" s="4"/>
      <c r="M476" s="5"/>
    </row>
    <row r="477" spans="1:13" ht="17.25" customHeight="1" x14ac:dyDescent="0.25">
      <c r="A477" s="11">
        <v>45462</v>
      </c>
      <c r="B477" s="40" t="s">
        <v>1291</v>
      </c>
      <c r="C477" s="41" t="s">
        <v>1292</v>
      </c>
      <c r="D477" s="42" t="s">
        <v>15</v>
      </c>
      <c r="E477" s="42" t="s">
        <v>612</v>
      </c>
      <c r="F477" s="42" t="s">
        <v>943</v>
      </c>
      <c r="G477" s="43">
        <v>2176220</v>
      </c>
      <c r="H477" s="43">
        <f t="shared" si="12"/>
        <v>239384.2</v>
      </c>
      <c r="I477" s="4"/>
      <c r="M477" s="5"/>
    </row>
    <row r="478" spans="1:13" ht="17.25" customHeight="1" x14ac:dyDescent="0.25">
      <c r="A478" s="11">
        <v>45465</v>
      </c>
      <c r="B478" s="40" t="s">
        <v>1293</v>
      </c>
      <c r="C478" s="41" t="s">
        <v>1294</v>
      </c>
      <c r="D478" s="42" t="s">
        <v>33</v>
      </c>
      <c r="E478" s="42" t="s">
        <v>1295</v>
      </c>
      <c r="F478" s="42" t="s">
        <v>72</v>
      </c>
      <c r="G478" s="43">
        <v>2000000</v>
      </c>
      <c r="H478" s="43">
        <f t="shared" si="12"/>
        <v>220000</v>
      </c>
      <c r="I478" s="4"/>
      <c r="M478" s="5"/>
    </row>
    <row r="479" spans="1:13" ht="17.25" customHeight="1" x14ac:dyDescent="0.25">
      <c r="A479" s="11">
        <v>45465</v>
      </c>
      <c r="B479" s="40" t="s">
        <v>1296</v>
      </c>
      <c r="C479" s="41" t="s">
        <v>1297</v>
      </c>
      <c r="D479" s="42" t="s">
        <v>474</v>
      </c>
      <c r="E479" s="42" t="s">
        <v>475</v>
      </c>
      <c r="F479" s="42" t="s">
        <v>43</v>
      </c>
      <c r="G479" s="43">
        <v>26000000</v>
      </c>
      <c r="H479" s="43">
        <f t="shared" si="12"/>
        <v>2860000</v>
      </c>
      <c r="I479" s="4"/>
      <c r="M479" s="5"/>
    </row>
    <row r="480" spans="1:13" ht="17.25" customHeight="1" x14ac:dyDescent="0.25">
      <c r="A480" s="11">
        <v>45465</v>
      </c>
      <c r="B480" s="40" t="s">
        <v>1298</v>
      </c>
      <c r="C480" s="41" t="s">
        <v>1299</v>
      </c>
      <c r="D480" s="42" t="s">
        <v>1300</v>
      </c>
      <c r="E480" s="42" t="s">
        <v>1301</v>
      </c>
      <c r="F480" s="42" t="s">
        <v>1302</v>
      </c>
      <c r="G480" s="43">
        <v>2500000</v>
      </c>
      <c r="H480" s="43">
        <f t="shared" si="12"/>
        <v>275000</v>
      </c>
      <c r="I480" s="4"/>
      <c r="M480" s="5"/>
    </row>
    <row r="481" spans="1:13" ht="17.25" customHeight="1" x14ac:dyDescent="0.25">
      <c r="A481" s="11">
        <v>45465</v>
      </c>
      <c r="B481" s="40" t="s">
        <v>1303</v>
      </c>
      <c r="C481" s="41" t="s">
        <v>1304</v>
      </c>
      <c r="D481" s="42" t="s">
        <v>1300</v>
      </c>
      <c r="E481" s="42" t="s">
        <v>1305</v>
      </c>
      <c r="F481" s="42" t="s">
        <v>1306</v>
      </c>
      <c r="G481" s="43">
        <v>4356330</v>
      </c>
      <c r="H481" s="43">
        <f t="shared" si="12"/>
        <v>479196.3</v>
      </c>
      <c r="I481" s="4"/>
      <c r="M481" s="5"/>
    </row>
    <row r="482" spans="1:13" ht="17.25" customHeight="1" x14ac:dyDescent="0.25">
      <c r="A482" s="11">
        <v>45465</v>
      </c>
      <c r="B482" s="40" t="s">
        <v>1307</v>
      </c>
      <c r="C482" s="41" t="s">
        <v>1308</v>
      </c>
      <c r="D482" s="42" t="s">
        <v>1300</v>
      </c>
      <c r="E482" s="42" t="s">
        <v>1309</v>
      </c>
      <c r="F482" s="42" t="s">
        <v>1310</v>
      </c>
      <c r="G482" s="43">
        <v>1242850</v>
      </c>
      <c r="H482" s="43">
        <f>G482*11%-1</f>
        <v>136712.5</v>
      </c>
      <c r="I482" s="4"/>
      <c r="M482" s="5"/>
    </row>
    <row r="483" spans="1:13" ht="17.25" customHeight="1" x14ac:dyDescent="0.25">
      <c r="A483" s="11">
        <v>45465</v>
      </c>
      <c r="B483" s="40" t="s">
        <v>1311</v>
      </c>
      <c r="C483" s="41" t="s">
        <v>1312</v>
      </c>
      <c r="D483" s="42" t="s">
        <v>1300</v>
      </c>
      <c r="E483" s="42" t="s">
        <v>1313</v>
      </c>
      <c r="F483" s="42" t="s">
        <v>1314</v>
      </c>
      <c r="G483" s="43">
        <v>4400000</v>
      </c>
      <c r="H483" s="43">
        <f t="shared" ref="H483:H501" si="13">G483*11%</f>
        <v>484000</v>
      </c>
      <c r="I483" s="4"/>
      <c r="M483" s="5"/>
    </row>
    <row r="484" spans="1:13" ht="17.25" customHeight="1" x14ac:dyDescent="0.25">
      <c r="A484" s="11">
        <v>45465</v>
      </c>
      <c r="B484" s="40" t="s">
        <v>1315</v>
      </c>
      <c r="C484" s="41" t="s">
        <v>1316</v>
      </c>
      <c r="D484" s="42" t="s">
        <v>1300</v>
      </c>
      <c r="E484" s="42" t="s">
        <v>1317</v>
      </c>
      <c r="F484" s="42" t="s">
        <v>1318</v>
      </c>
      <c r="G484" s="43">
        <v>4400000</v>
      </c>
      <c r="H484" s="43">
        <f t="shared" si="13"/>
        <v>484000</v>
      </c>
      <c r="I484" s="4"/>
      <c r="M484" s="5"/>
    </row>
    <row r="485" spans="1:13" ht="17.25" customHeight="1" x14ac:dyDescent="0.25">
      <c r="A485" s="11">
        <v>45465</v>
      </c>
      <c r="B485" s="40" t="s">
        <v>1319</v>
      </c>
      <c r="C485" s="41" t="s">
        <v>1320</v>
      </c>
      <c r="D485" s="42" t="s">
        <v>1300</v>
      </c>
      <c r="E485" s="42" t="s">
        <v>1321</v>
      </c>
      <c r="F485" s="42" t="s">
        <v>1318</v>
      </c>
      <c r="G485" s="43">
        <v>2485700</v>
      </c>
      <c r="H485" s="43">
        <f t="shared" si="13"/>
        <v>273427</v>
      </c>
      <c r="I485" s="4"/>
      <c r="M485" s="5"/>
    </row>
    <row r="486" spans="1:13" ht="17.25" customHeight="1" x14ac:dyDescent="0.25">
      <c r="A486" s="11">
        <v>45465</v>
      </c>
      <c r="B486" s="40" t="s">
        <v>1322</v>
      </c>
      <c r="C486" s="41" t="s">
        <v>1323</v>
      </c>
      <c r="D486" s="42" t="s">
        <v>1300</v>
      </c>
      <c r="E486" s="42" t="s">
        <v>1324</v>
      </c>
      <c r="F486" s="42" t="s">
        <v>1325</v>
      </c>
      <c r="G486" s="43">
        <v>4400000</v>
      </c>
      <c r="H486" s="43">
        <f t="shared" si="13"/>
        <v>484000</v>
      </c>
      <c r="I486" s="4"/>
      <c r="M486" s="5"/>
    </row>
    <row r="487" spans="1:13" ht="17.25" customHeight="1" x14ac:dyDescent="0.25">
      <c r="A487" s="11">
        <v>45465</v>
      </c>
      <c r="B487" s="40" t="s">
        <v>1326</v>
      </c>
      <c r="C487" s="41" t="s">
        <v>1327</v>
      </c>
      <c r="D487" s="42" t="s">
        <v>1300</v>
      </c>
      <c r="E487" s="42" t="s">
        <v>1328</v>
      </c>
      <c r="F487" s="42" t="s">
        <v>1325</v>
      </c>
      <c r="G487" s="43">
        <v>2485700</v>
      </c>
      <c r="H487" s="43">
        <f t="shared" si="13"/>
        <v>273427</v>
      </c>
      <c r="I487" s="4"/>
      <c r="M487" s="5"/>
    </row>
    <row r="488" spans="1:13" ht="17.25" customHeight="1" x14ac:dyDescent="0.25">
      <c r="A488" s="11">
        <v>45465</v>
      </c>
      <c r="B488" s="40" t="s">
        <v>1329</v>
      </c>
      <c r="C488" s="41" t="s">
        <v>1330</v>
      </c>
      <c r="D488" s="42" t="s">
        <v>1300</v>
      </c>
      <c r="E488" s="42" t="s">
        <v>1331</v>
      </c>
      <c r="F488" s="42" t="s">
        <v>1332</v>
      </c>
      <c r="G488" s="43">
        <v>4400000</v>
      </c>
      <c r="H488" s="43">
        <f t="shared" si="13"/>
        <v>484000</v>
      </c>
      <c r="I488" s="4"/>
      <c r="M488" s="5"/>
    </row>
    <row r="489" spans="1:13" ht="17.25" customHeight="1" x14ac:dyDescent="0.25">
      <c r="A489" s="11">
        <v>45465</v>
      </c>
      <c r="B489" s="40" t="s">
        <v>1333</v>
      </c>
      <c r="C489" s="41" t="s">
        <v>1334</v>
      </c>
      <c r="D489" s="42" t="s">
        <v>1300</v>
      </c>
      <c r="E489" s="42" t="s">
        <v>1335</v>
      </c>
      <c r="F489" s="42" t="s">
        <v>1332</v>
      </c>
      <c r="G489" s="43">
        <v>2485700</v>
      </c>
      <c r="H489" s="43">
        <f t="shared" si="13"/>
        <v>273427</v>
      </c>
      <c r="I489" s="4"/>
      <c r="M489" s="5"/>
    </row>
    <row r="490" spans="1:13" ht="17.25" customHeight="1" x14ac:dyDescent="0.25">
      <c r="A490" s="11">
        <v>45465</v>
      </c>
      <c r="B490" s="40" t="s">
        <v>1336</v>
      </c>
      <c r="C490" s="41" t="s">
        <v>1337</v>
      </c>
      <c r="D490" s="42" t="s">
        <v>1300</v>
      </c>
      <c r="E490" s="42" t="s">
        <v>1338</v>
      </c>
      <c r="F490" s="42" t="s">
        <v>1339</v>
      </c>
      <c r="G490" s="43">
        <v>6885700</v>
      </c>
      <c r="H490" s="43">
        <f t="shared" si="13"/>
        <v>757427</v>
      </c>
      <c r="I490" s="4"/>
      <c r="M490" s="5"/>
    </row>
    <row r="491" spans="1:13" ht="17.25" customHeight="1" x14ac:dyDescent="0.25">
      <c r="A491" s="11">
        <v>45465</v>
      </c>
      <c r="B491" s="40" t="s">
        <v>1340</v>
      </c>
      <c r="C491" s="41" t="s">
        <v>1341</v>
      </c>
      <c r="D491" s="42" t="s">
        <v>137</v>
      </c>
      <c r="E491" s="42" t="s">
        <v>1342</v>
      </c>
      <c r="F491" s="42" t="s">
        <v>1343</v>
      </c>
      <c r="G491" s="43">
        <v>320140</v>
      </c>
      <c r="H491" s="43">
        <f t="shared" si="13"/>
        <v>35215.4</v>
      </c>
      <c r="I491" s="4"/>
      <c r="M491" s="5"/>
    </row>
    <row r="492" spans="1:13" ht="17.25" customHeight="1" x14ac:dyDescent="0.25">
      <c r="A492" s="11">
        <v>45465</v>
      </c>
      <c r="B492" s="40" t="s">
        <v>1344</v>
      </c>
      <c r="C492" s="41" t="s">
        <v>1345</v>
      </c>
      <c r="D492" s="42" t="s">
        <v>15</v>
      </c>
      <c r="E492" s="42" t="s">
        <v>612</v>
      </c>
      <c r="F492" s="42" t="s">
        <v>1346</v>
      </c>
      <c r="G492" s="43">
        <v>590000</v>
      </c>
      <c r="H492" s="43">
        <f t="shared" si="13"/>
        <v>64900</v>
      </c>
      <c r="I492" s="4"/>
      <c r="M492" s="5"/>
    </row>
    <row r="493" spans="1:13" ht="17.25" customHeight="1" x14ac:dyDescent="0.25">
      <c r="A493" s="11">
        <v>45465</v>
      </c>
      <c r="B493" s="40" t="s">
        <v>1347</v>
      </c>
      <c r="C493" s="41" t="s">
        <v>1348</v>
      </c>
      <c r="D493" s="42" t="s">
        <v>15</v>
      </c>
      <c r="E493" s="42" t="s">
        <v>612</v>
      </c>
      <c r="F493" s="42" t="s">
        <v>1349</v>
      </c>
      <c r="G493" s="43">
        <v>16386000</v>
      </c>
      <c r="H493" s="43">
        <f t="shared" si="13"/>
        <v>1802460</v>
      </c>
      <c r="I493" s="4"/>
      <c r="M493" s="5"/>
    </row>
    <row r="494" spans="1:13" ht="17.25" customHeight="1" x14ac:dyDescent="0.25">
      <c r="A494" s="11">
        <v>45465</v>
      </c>
      <c r="B494" s="40" t="s">
        <v>1350</v>
      </c>
      <c r="C494" s="41" t="s">
        <v>1351</v>
      </c>
      <c r="D494" s="42" t="s">
        <v>898</v>
      </c>
      <c r="E494" s="42" t="s">
        <v>1352</v>
      </c>
      <c r="F494" s="42" t="s">
        <v>333</v>
      </c>
      <c r="G494" s="43">
        <v>3000000</v>
      </c>
      <c r="H494" s="43">
        <f t="shared" si="13"/>
        <v>330000</v>
      </c>
      <c r="I494" s="4"/>
      <c r="M494" s="5"/>
    </row>
    <row r="495" spans="1:13" ht="17.25" customHeight="1" x14ac:dyDescent="0.25">
      <c r="A495" s="11">
        <v>45465</v>
      </c>
      <c r="B495" s="40" t="s">
        <v>1353</v>
      </c>
      <c r="C495" s="41" t="s">
        <v>1354</v>
      </c>
      <c r="D495" s="42" t="s">
        <v>898</v>
      </c>
      <c r="E495" s="42" t="s">
        <v>1352</v>
      </c>
      <c r="F495" s="42" t="s">
        <v>1355</v>
      </c>
      <c r="G495" s="43">
        <v>12988000</v>
      </c>
      <c r="H495" s="43">
        <f t="shared" si="13"/>
        <v>1428680</v>
      </c>
      <c r="I495" s="4"/>
      <c r="M495" s="5"/>
    </row>
    <row r="496" spans="1:13" ht="17.25" customHeight="1" x14ac:dyDescent="0.25">
      <c r="A496" s="11">
        <v>45465</v>
      </c>
      <c r="B496" s="40" t="s">
        <v>1356</v>
      </c>
      <c r="C496" s="41" t="s">
        <v>1357</v>
      </c>
      <c r="D496" s="42" t="s">
        <v>898</v>
      </c>
      <c r="E496" s="42" t="s">
        <v>1358</v>
      </c>
      <c r="F496" s="42" t="s">
        <v>1359</v>
      </c>
      <c r="G496" s="43">
        <v>11650000</v>
      </c>
      <c r="H496" s="43">
        <f t="shared" si="13"/>
        <v>1281500</v>
      </c>
      <c r="I496" s="4"/>
      <c r="M496" s="5"/>
    </row>
    <row r="497" spans="1:13" ht="17.25" customHeight="1" x14ac:dyDescent="0.25">
      <c r="A497" s="11">
        <v>45465</v>
      </c>
      <c r="B497" s="40" t="s">
        <v>1360</v>
      </c>
      <c r="C497" s="41" t="s">
        <v>1361</v>
      </c>
      <c r="D497" s="42" t="s">
        <v>898</v>
      </c>
      <c r="E497" s="42" t="s">
        <v>1362</v>
      </c>
      <c r="F497" s="42" t="s">
        <v>1363</v>
      </c>
      <c r="G497" s="43">
        <v>10160000</v>
      </c>
      <c r="H497" s="43">
        <f t="shared" si="13"/>
        <v>1117600</v>
      </c>
      <c r="I497" s="4"/>
      <c r="M497" s="5"/>
    </row>
    <row r="498" spans="1:13" ht="17.25" customHeight="1" x14ac:dyDescent="0.25">
      <c r="A498" s="11">
        <v>45465</v>
      </c>
      <c r="B498" s="40" t="s">
        <v>1364</v>
      </c>
      <c r="C498" s="41" t="s">
        <v>1365</v>
      </c>
      <c r="D498" s="42" t="s">
        <v>898</v>
      </c>
      <c r="E498" s="42" t="s">
        <v>1366</v>
      </c>
      <c r="F498" s="42" t="s">
        <v>1367</v>
      </c>
      <c r="G498" s="43">
        <v>3947500</v>
      </c>
      <c r="H498" s="43">
        <f t="shared" si="13"/>
        <v>434225</v>
      </c>
      <c r="I498" s="4"/>
      <c r="M498" s="5"/>
    </row>
    <row r="499" spans="1:13" ht="17.25" customHeight="1" x14ac:dyDescent="0.25">
      <c r="A499" s="11">
        <v>45465</v>
      </c>
      <c r="B499" s="40" t="s">
        <v>1368</v>
      </c>
      <c r="C499" s="41" t="s">
        <v>1369</v>
      </c>
      <c r="D499" s="42" t="s">
        <v>898</v>
      </c>
      <c r="E499" s="42" t="s">
        <v>1370</v>
      </c>
      <c r="F499" s="42" t="s">
        <v>1371</v>
      </c>
      <c r="G499" s="43">
        <v>3821000</v>
      </c>
      <c r="H499" s="43">
        <f t="shared" si="13"/>
        <v>420310</v>
      </c>
      <c r="I499" s="4"/>
      <c r="M499" s="5"/>
    </row>
    <row r="500" spans="1:13" ht="17.25" customHeight="1" x14ac:dyDescent="0.25">
      <c r="A500" s="11">
        <v>45465</v>
      </c>
      <c r="B500" s="40" t="s">
        <v>1372</v>
      </c>
      <c r="C500" s="41" t="s">
        <v>1373</v>
      </c>
      <c r="D500" s="42" t="s">
        <v>898</v>
      </c>
      <c r="E500" s="42" t="s">
        <v>1374</v>
      </c>
      <c r="F500" s="42" t="s">
        <v>1375</v>
      </c>
      <c r="G500" s="43">
        <v>3767000</v>
      </c>
      <c r="H500" s="43">
        <f t="shared" si="13"/>
        <v>414370</v>
      </c>
      <c r="I500" s="4"/>
      <c r="M500" s="5"/>
    </row>
    <row r="501" spans="1:13" ht="17.25" customHeight="1" x14ac:dyDescent="0.25">
      <c r="A501" s="11">
        <v>45465</v>
      </c>
      <c r="B501" s="40" t="s">
        <v>1376</v>
      </c>
      <c r="C501" s="41" t="s">
        <v>1377</v>
      </c>
      <c r="D501" s="42" t="s">
        <v>898</v>
      </c>
      <c r="E501" s="42" t="s">
        <v>1378</v>
      </c>
      <c r="F501" s="42" t="s">
        <v>1379</v>
      </c>
      <c r="G501" s="43">
        <v>3212000</v>
      </c>
      <c r="H501" s="43">
        <f t="shared" si="13"/>
        <v>353320</v>
      </c>
      <c r="I501" s="4"/>
      <c r="M501" s="5"/>
    </row>
    <row r="502" spans="1:13" ht="17.25" customHeight="1" x14ac:dyDescent="0.25">
      <c r="A502" s="11">
        <v>45471</v>
      </c>
      <c r="B502" s="40" t="s">
        <v>1380</v>
      </c>
      <c r="C502" s="41" t="s">
        <v>1381</v>
      </c>
      <c r="D502" s="42" t="s">
        <v>412</v>
      </c>
      <c r="E502" s="42" t="s">
        <v>918</v>
      </c>
      <c r="F502" s="42" t="s">
        <v>1382</v>
      </c>
      <c r="G502" s="43">
        <v>8252250</v>
      </c>
      <c r="H502" s="43">
        <f>G502*11%-1</f>
        <v>907746.5</v>
      </c>
      <c r="I502" s="4"/>
      <c r="M502" s="5"/>
    </row>
    <row r="503" spans="1:13" ht="17.25" customHeight="1" x14ac:dyDescent="0.25">
      <c r="A503" s="11">
        <v>45471</v>
      </c>
      <c r="B503" s="40" t="s">
        <v>1383</v>
      </c>
      <c r="C503" s="41" t="s">
        <v>1384</v>
      </c>
      <c r="D503" s="42" t="s">
        <v>328</v>
      </c>
      <c r="E503" s="42" t="s">
        <v>500</v>
      </c>
      <c r="F503" s="42" t="s">
        <v>1114</v>
      </c>
      <c r="G503" s="43">
        <v>30062000</v>
      </c>
      <c r="H503" s="43">
        <f>G503*11%</f>
        <v>3306820</v>
      </c>
      <c r="I503" s="4"/>
      <c r="M503" s="5"/>
    </row>
    <row r="504" spans="1:13" ht="17.25" customHeight="1" x14ac:dyDescent="0.25">
      <c r="A504" s="11">
        <v>45471</v>
      </c>
      <c r="B504" s="40" t="s">
        <v>1385</v>
      </c>
      <c r="C504" s="41" t="s">
        <v>1386</v>
      </c>
      <c r="D504" s="42" t="s">
        <v>328</v>
      </c>
      <c r="E504" s="42" t="s">
        <v>1091</v>
      </c>
      <c r="F504" s="42" t="s">
        <v>1114</v>
      </c>
      <c r="G504" s="43">
        <v>2741250</v>
      </c>
      <c r="H504" s="43">
        <f>G504*11%-1</f>
        <v>301536.5</v>
      </c>
      <c r="I504" s="4"/>
      <c r="M504" s="5"/>
    </row>
    <row r="505" spans="1:13" ht="17.25" customHeight="1" x14ac:dyDescent="0.25">
      <c r="A505" s="11">
        <v>45471</v>
      </c>
      <c r="B505" s="40" t="s">
        <v>1387</v>
      </c>
      <c r="C505" s="41" t="s">
        <v>1388</v>
      </c>
      <c r="D505" s="42" t="s">
        <v>15</v>
      </c>
      <c r="E505" s="42" t="s">
        <v>1152</v>
      </c>
      <c r="F505" s="42" t="s">
        <v>1114</v>
      </c>
      <c r="G505" s="43">
        <v>81399099</v>
      </c>
      <c r="H505" s="43">
        <f>G505*11%-1</f>
        <v>8953899.8900000006</v>
      </c>
      <c r="I505" s="4"/>
      <c r="M505" s="5"/>
    </row>
    <row r="506" spans="1:13" ht="17.25" customHeight="1" x14ac:dyDescent="0.25">
      <c r="A506" s="11">
        <v>45471</v>
      </c>
      <c r="B506" s="40" t="s">
        <v>1389</v>
      </c>
      <c r="C506" s="41" t="s">
        <v>1390</v>
      </c>
      <c r="D506" s="42" t="s">
        <v>15</v>
      </c>
      <c r="E506" s="42" t="s">
        <v>756</v>
      </c>
      <c r="F506" s="42" t="s">
        <v>1114</v>
      </c>
      <c r="G506" s="43">
        <v>3172950</v>
      </c>
      <c r="H506" s="43">
        <f>G506*11%-1</f>
        <v>349023.5</v>
      </c>
      <c r="I506" s="4"/>
      <c r="M506" s="5"/>
    </row>
    <row r="507" spans="1:13" ht="17.25" customHeight="1" x14ac:dyDescent="0.2">
      <c r="A507" s="1"/>
      <c r="C507" s="3"/>
      <c r="G507" s="3"/>
      <c r="H507" s="3"/>
      <c r="I507" s="4"/>
      <c r="M507" s="5"/>
    </row>
    <row r="508" spans="1:13" ht="17.25" customHeight="1" x14ac:dyDescent="0.25">
      <c r="A508" s="11">
        <v>45473</v>
      </c>
      <c r="B508" s="40" t="s">
        <v>1391</v>
      </c>
      <c r="C508" s="41" t="s">
        <v>1392</v>
      </c>
      <c r="D508" s="42" t="s">
        <v>340</v>
      </c>
      <c r="E508" s="42" t="s">
        <v>199</v>
      </c>
      <c r="F508" s="42" t="s">
        <v>1393</v>
      </c>
      <c r="G508" s="43">
        <v>243172472</v>
      </c>
      <c r="H508" s="43">
        <f>G508*11%-1</f>
        <v>26748970.920000002</v>
      </c>
      <c r="I508" s="4"/>
      <c r="M508" s="5"/>
    </row>
    <row r="509" spans="1:13" ht="17.25" customHeight="1" x14ac:dyDescent="0.25">
      <c r="A509" s="11">
        <v>45473</v>
      </c>
      <c r="B509" s="40" t="s">
        <v>1394</v>
      </c>
      <c r="C509" s="41" t="s">
        <v>1395</v>
      </c>
      <c r="D509" s="42" t="s">
        <v>340</v>
      </c>
      <c r="E509" s="42" t="s">
        <v>350</v>
      </c>
      <c r="F509" s="42" t="s">
        <v>1393</v>
      </c>
      <c r="G509" s="43">
        <v>25041733</v>
      </c>
      <c r="H509" s="43">
        <f>G509*11%-1</f>
        <v>2754589.63</v>
      </c>
      <c r="I509" s="4"/>
      <c r="M509" s="5"/>
    </row>
    <row r="510" spans="1:13" ht="17.25" customHeight="1" x14ac:dyDescent="0.25">
      <c r="A510" s="11">
        <v>45473</v>
      </c>
      <c r="B510" s="40" t="s">
        <v>1396</v>
      </c>
      <c r="C510" s="41" t="s">
        <v>1397</v>
      </c>
      <c r="D510" s="42" t="s">
        <v>340</v>
      </c>
      <c r="E510" s="42" t="s">
        <v>1119</v>
      </c>
      <c r="F510" s="42" t="s">
        <v>1393</v>
      </c>
      <c r="G510" s="43">
        <v>3312133</v>
      </c>
      <c r="H510" s="43">
        <f>G510*11%-1</f>
        <v>364333.63</v>
      </c>
      <c r="I510" s="4"/>
      <c r="M510" s="5"/>
    </row>
    <row r="511" spans="1:13" ht="17.25" customHeight="1" x14ac:dyDescent="0.25">
      <c r="A511" s="11">
        <v>45473</v>
      </c>
      <c r="B511" s="40" t="s">
        <v>1398</v>
      </c>
      <c r="C511" s="41" t="s">
        <v>1399</v>
      </c>
      <c r="D511" s="42" t="s">
        <v>340</v>
      </c>
      <c r="E511" s="42" t="s">
        <v>1400</v>
      </c>
      <c r="F511" s="42" t="s">
        <v>1401</v>
      </c>
      <c r="G511" s="43">
        <v>290000</v>
      </c>
      <c r="H511" s="43">
        <f>G511*11%</f>
        <v>31900</v>
      </c>
      <c r="I511" s="4"/>
      <c r="M511" s="5"/>
    </row>
    <row r="512" spans="1:13" ht="17.25" customHeight="1" x14ac:dyDescent="0.25">
      <c r="A512" s="11">
        <v>45474</v>
      </c>
      <c r="B512" s="40" t="s">
        <v>1402</v>
      </c>
      <c r="C512" s="41" t="s">
        <v>1403</v>
      </c>
      <c r="D512" s="42" t="s">
        <v>359</v>
      </c>
      <c r="E512" s="42" t="s">
        <v>159</v>
      </c>
      <c r="F512" s="42" t="s">
        <v>1114</v>
      </c>
      <c r="G512" s="43">
        <v>2816500</v>
      </c>
      <c r="H512" s="43">
        <f>G512*11%</f>
        <v>309815</v>
      </c>
      <c r="I512" s="4"/>
      <c r="M512" s="5"/>
    </row>
    <row r="513" spans="1:13" ht="17.25" customHeight="1" x14ac:dyDescent="0.25">
      <c r="A513" s="11"/>
      <c r="B513" s="40"/>
      <c r="C513" s="41"/>
      <c r="D513" s="42"/>
      <c r="E513" s="42"/>
      <c r="F513" s="42"/>
      <c r="G513" s="43"/>
      <c r="H513" s="43"/>
      <c r="I513" s="4"/>
      <c r="M513" s="5"/>
    </row>
    <row r="514" spans="1:13" ht="17.25" customHeight="1" x14ac:dyDescent="0.25">
      <c r="A514" s="11">
        <v>45474</v>
      </c>
      <c r="B514" s="40" t="s">
        <v>1404</v>
      </c>
      <c r="C514" s="41" t="s">
        <v>1405</v>
      </c>
      <c r="D514" s="42" t="s">
        <v>15</v>
      </c>
      <c r="E514" s="42" t="s">
        <v>1406</v>
      </c>
      <c r="F514" s="42" t="s">
        <v>341</v>
      </c>
      <c r="G514" s="43">
        <v>52486433</v>
      </c>
      <c r="H514" s="43">
        <f>G514*11%-1</f>
        <v>5773506.6299999999</v>
      </c>
      <c r="I514" s="4"/>
      <c r="M514" s="5"/>
    </row>
    <row r="515" spans="1:13" ht="17.25" customHeight="1" x14ac:dyDescent="0.25">
      <c r="A515" s="11">
        <v>45474</v>
      </c>
      <c r="B515" s="40" t="s">
        <v>1407</v>
      </c>
      <c r="C515" s="41" t="s">
        <v>1408</v>
      </c>
      <c r="D515" s="42" t="s">
        <v>15</v>
      </c>
      <c r="E515" s="42" t="s">
        <v>1409</v>
      </c>
      <c r="F515" s="42" t="s">
        <v>1114</v>
      </c>
      <c r="G515" s="43">
        <v>60119940</v>
      </c>
      <c r="H515" s="43">
        <f>G515*11%</f>
        <v>6613193.4000000004</v>
      </c>
      <c r="I515" s="4"/>
      <c r="M515" s="5"/>
    </row>
    <row r="516" spans="1:13" ht="17.25" customHeight="1" x14ac:dyDescent="0.25">
      <c r="A516" s="11">
        <v>45474</v>
      </c>
      <c r="B516" s="40" t="s">
        <v>1410</v>
      </c>
      <c r="C516" s="41" t="s">
        <v>1411</v>
      </c>
      <c r="D516" s="42" t="s">
        <v>15</v>
      </c>
      <c r="E516" s="42" t="s">
        <v>532</v>
      </c>
      <c r="F516" s="42" t="s">
        <v>1114</v>
      </c>
      <c r="G516" s="43">
        <v>107559770</v>
      </c>
      <c r="H516" s="43">
        <f>G516*11%-1</f>
        <v>11831573.699999999</v>
      </c>
      <c r="I516" s="4"/>
      <c r="M516" s="5"/>
    </row>
    <row r="517" spans="1:13" ht="17.25" customHeight="1" x14ac:dyDescent="0.25">
      <c r="A517" s="11">
        <v>45474</v>
      </c>
      <c r="B517" s="40" t="s">
        <v>1412</v>
      </c>
      <c r="C517" s="41" t="s">
        <v>1413</v>
      </c>
      <c r="D517" s="42" t="s">
        <v>15</v>
      </c>
      <c r="E517" s="42" t="s">
        <v>376</v>
      </c>
      <c r="F517" s="42" t="s">
        <v>1414</v>
      </c>
      <c r="G517" s="43">
        <v>17000000</v>
      </c>
      <c r="H517" s="43">
        <f t="shared" ref="H517:H524" si="14">G517*11%</f>
        <v>1870000</v>
      </c>
      <c r="I517" s="4"/>
      <c r="M517" s="5"/>
    </row>
    <row r="518" spans="1:13" ht="17.25" customHeight="1" x14ac:dyDescent="0.25">
      <c r="A518" s="11">
        <v>45474</v>
      </c>
      <c r="B518" s="40" t="s">
        <v>1415</v>
      </c>
      <c r="C518" s="41" t="s">
        <v>1416</v>
      </c>
      <c r="D518" s="42" t="s">
        <v>15</v>
      </c>
      <c r="E518" s="42" t="s">
        <v>376</v>
      </c>
      <c r="F518" s="42" t="s">
        <v>1417</v>
      </c>
      <c r="G518" s="43">
        <v>10900000</v>
      </c>
      <c r="H518" s="43">
        <f t="shared" si="14"/>
        <v>1199000</v>
      </c>
      <c r="I518" s="4"/>
      <c r="M518" s="5"/>
    </row>
    <row r="519" spans="1:13" ht="17.25" customHeight="1" x14ac:dyDescent="0.25">
      <c r="A519" s="11">
        <v>45474</v>
      </c>
      <c r="B519" s="40" t="s">
        <v>1418</v>
      </c>
      <c r="C519" s="41" t="s">
        <v>1419</v>
      </c>
      <c r="D519" s="42" t="s">
        <v>15</v>
      </c>
      <c r="E519" s="42" t="s">
        <v>376</v>
      </c>
      <c r="F519" s="42" t="s">
        <v>1420</v>
      </c>
      <c r="G519" s="43">
        <v>3100000</v>
      </c>
      <c r="H519" s="43">
        <f t="shared" si="14"/>
        <v>341000</v>
      </c>
      <c r="I519" s="4"/>
      <c r="M519" s="5"/>
    </row>
    <row r="520" spans="1:13" ht="17.25" customHeight="1" x14ac:dyDescent="0.25">
      <c r="A520" s="11">
        <v>45476</v>
      </c>
      <c r="B520" s="40" t="s">
        <v>1421</v>
      </c>
      <c r="C520" s="41" t="s">
        <v>1422</v>
      </c>
      <c r="D520" s="42" t="s">
        <v>865</v>
      </c>
      <c r="E520" s="42" t="s">
        <v>1423</v>
      </c>
      <c r="F520" s="42" t="s">
        <v>72</v>
      </c>
      <c r="G520" s="43">
        <v>4000000</v>
      </c>
      <c r="H520" s="43">
        <f t="shared" si="14"/>
        <v>440000</v>
      </c>
      <c r="I520" s="4"/>
      <c r="M520" s="5"/>
    </row>
    <row r="521" spans="1:13" ht="17.25" customHeight="1" x14ac:dyDescent="0.25">
      <c r="A521" s="11">
        <v>45476</v>
      </c>
      <c r="B521" s="40" t="s">
        <v>1424</v>
      </c>
      <c r="C521" s="41" t="s">
        <v>1425</v>
      </c>
      <c r="D521" s="42" t="s">
        <v>15</v>
      </c>
      <c r="E521" s="42" t="s">
        <v>376</v>
      </c>
      <c r="F521" s="42" t="s">
        <v>1426</v>
      </c>
      <c r="G521" s="43">
        <v>6839000</v>
      </c>
      <c r="H521" s="43">
        <f t="shared" si="14"/>
        <v>752290</v>
      </c>
      <c r="I521" s="4"/>
      <c r="M521" s="5"/>
    </row>
    <row r="522" spans="1:13" ht="17.25" customHeight="1" x14ac:dyDescent="0.25">
      <c r="A522" s="11">
        <v>45476</v>
      </c>
      <c r="B522" s="40" t="s">
        <v>1427</v>
      </c>
      <c r="C522" s="41" t="s">
        <v>1428</v>
      </c>
      <c r="D522" s="42" t="s">
        <v>15</v>
      </c>
      <c r="E522" s="42" t="s">
        <v>376</v>
      </c>
      <c r="F522" s="42" t="s">
        <v>1429</v>
      </c>
      <c r="G522" s="43">
        <v>16000000</v>
      </c>
      <c r="H522" s="43">
        <f t="shared" si="14"/>
        <v>1760000</v>
      </c>
      <c r="I522" s="4"/>
      <c r="M522" s="5"/>
    </row>
    <row r="523" spans="1:13" ht="17.25" customHeight="1" x14ac:dyDescent="0.25">
      <c r="A523" s="11">
        <v>45476</v>
      </c>
      <c r="B523" s="40" t="s">
        <v>1430</v>
      </c>
      <c r="C523" s="41" t="s">
        <v>1431</v>
      </c>
      <c r="D523" s="42" t="s">
        <v>15</v>
      </c>
      <c r="E523" s="42" t="s">
        <v>376</v>
      </c>
      <c r="F523" s="42" t="s">
        <v>1432</v>
      </c>
      <c r="G523" s="43">
        <v>2500000</v>
      </c>
      <c r="H523" s="43">
        <f t="shared" si="14"/>
        <v>275000</v>
      </c>
      <c r="I523" s="4"/>
      <c r="M523" s="5"/>
    </row>
    <row r="524" spans="1:13" ht="17.25" customHeight="1" x14ac:dyDescent="0.25">
      <c r="A524" s="11">
        <v>45476</v>
      </c>
      <c r="B524" s="40" t="s">
        <v>1433</v>
      </c>
      <c r="C524" s="41" t="s">
        <v>1434</v>
      </c>
      <c r="D524" s="42" t="s">
        <v>15</v>
      </c>
      <c r="E524" s="42" t="s">
        <v>16</v>
      </c>
      <c r="F524" s="42" t="s">
        <v>1114</v>
      </c>
      <c r="G524" s="43">
        <v>459479360</v>
      </c>
      <c r="H524" s="43">
        <f t="shared" si="14"/>
        <v>50542729.600000001</v>
      </c>
      <c r="I524" s="4"/>
      <c r="M524" s="5"/>
    </row>
    <row r="525" spans="1:13" ht="17.25" customHeight="1" x14ac:dyDescent="0.25">
      <c r="A525" s="11">
        <v>45476</v>
      </c>
      <c r="B525" s="40" t="s">
        <v>1435</v>
      </c>
      <c r="C525" s="41" t="s">
        <v>1436</v>
      </c>
      <c r="D525" s="42" t="s">
        <v>15</v>
      </c>
      <c r="E525" s="42" t="s">
        <v>511</v>
      </c>
      <c r="F525" s="42" t="s">
        <v>656</v>
      </c>
      <c r="G525" s="43">
        <v>3701090</v>
      </c>
      <c r="H525" s="43">
        <f>G525*11%-1</f>
        <v>407118.9</v>
      </c>
      <c r="I525" s="4"/>
      <c r="M525" s="5"/>
    </row>
    <row r="526" spans="1:13" ht="17.25" customHeight="1" x14ac:dyDescent="0.25">
      <c r="A526" s="11">
        <v>45476</v>
      </c>
      <c r="B526" s="40" t="s">
        <v>1437</v>
      </c>
      <c r="C526" s="41" t="s">
        <v>1438</v>
      </c>
      <c r="D526" s="42" t="s">
        <v>898</v>
      </c>
      <c r="E526" s="42" t="s">
        <v>1439</v>
      </c>
      <c r="F526" s="42" t="s">
        <v>333</v>
      </c>
      <c r="G526" s="43">
        <v>1250000</v>
      </c>
      <c r="H526" s="43">
        <f t="shared" ref="H526:H531" si="15">G526*11%</f>
        <v>137500</v>
      </c>
      <c r="I526" s="4"/>
      <c r="M526" s="5"/>
    </row>
    <row r="527" spans="1:13" ht="17.25" customHeight="1" x14ac:dyDescent="0.25">
      <c r="A527" s="11">
        <v>45476</v>
      </c>
      <c r="B527" s="40" t="s">
        <v>1440</v>
      </c>
      <c r="C527" s="41" t="s">
        <v>1441</v>
      </c>
      <c r="D527" s="42" t="s">
        <v>898</v>
      </c>
      <c r="E527" s="42" t="s">
        <v>1439</v>
      </c>
      <c r="F527" s="42" t="s">
        <v>1442</v>
      </c>
      <c r="G527" s="43">
        <v>3225000</v>
      </c>
      <c r="H527" s="43">
        <f t="shared" si="15"/>
        <v>354750</v>
      </c>
      <c r="I527" s="4"/>
      <c r="M527" s="5"/>
    </row>
    <row r="528" spans="1:13" ht="17.25" customHeight="1" x14ac:dyDescent="0.25">
      <c r="A528" s="11">
        <v>45476</v>
      </c>
      <c r="B528" s="40" t="s">
        <v>1443</v>
      </c>
      <c r="C528" s="41" t="s">
        <v>1444</v>
      </c>
      <c r="D528" s="42" t="s">
        <v>371</v>
      </c>
      <c r="E528" s="42" t="s">
        <v>962</v>
      </c>
      <c r="F528" s="42" t="s">
        <v>1114</v>
      </c>
      <c r="G528" s="43">
        <v>319000</v>
      </c>
      <c r="H528" s="43">
        <f t="shared" si="15"/>
        <v>35090</v>
      </c>
      <c r="I528" s="4"/>
      <c r="M528" s="5"/>
    </row>
    <row r="529" spans="1:13" ht="17.25" customHeight="1" x14ac:dyDescent="0.25">
      <c r="A529" s="11">
        <v>45476</v>
      </c>
      <c r="B529" s="40" t="s">
        <v>1445</v>
      </c>
      <c r="C529" s="41" t="s">
        <v>1446</v>
      </c>
      <c r="D529" s="42" t="s">
        <v>371</v>
      </c>
      <c r="E529" s="42" t="s">
        <v>962</v>
      </c>
      <c r="F529" s="42" t="s">
        <v>1393</v>
      </c>
      <c r="G529" s="43">
        <v>319000</v>
      </c>
      <c r="H529" s="43">
        <f t="shared" si="15"/>
        <v>35090</v>
      </c>
      <c r="I529" s="4"/>
      <c r="M529" s="5"/>
    </row>
    <row r="530" spans="1:13" ht="17.25" customHeight="1" x14ac:dyDescent="0.25">
      <c r="A530" s="11">
        <v>45476</v>
      </c>
      <c r="B530" s="40" t="s">
        <v>1447</v>
      </c>
      <c r="C530" s="41" t="s">
        <v>1448</v>
      </c>
      <c r="D530" s="42" t="s">
        <v>371</v>
      </c>
      <c r="E530" s="42" t="s">
        <v>511</v>
      </c>
      <c r="F530" s="42" t="s">
        <v>1449</v>
      </c>
      <c r="G530" s="43">
        <v>580830</v>
      </c>
      <c r="H530" s="43">
        <f t="shared" si="15"/>
        <v>63891.3</v>
      </c>
      <c r="I530" s="4"/>
      <c r="M530" s="5"/>
    </row>
    <row r="531" spans="1:13" ht="17.25" customHeight="1" x14ac:dyDescent="0.25">
      <c r="A531" s="11">
        <v>45476</v>
      </c>
      <c r="B531" s="40" t="s">
        <v>1450</v>
      </c>
      <c r="C531" s="41" t="s">
        <v>1451</v>
      </c>
      <c r="D531" s="42" t="s">
        <v>133</v>
      </c>
      <c r="E531" s="42" t="s">
        <v>1452</v>
      </c>
      <c r="F531" s="42" t="s">
        <v>1393</v>
      </c>
      <c r="G531" s="43">
        <v>8670000</v>
      </c>
      <c r="H531" s="43">
        <f t="shared" si="15"/>
        <v>953700</v>
      </c>
      <c r="I531" s="65"/>
      <c r="M531" s="5"/>
    </row>
    <row r="532" spans="1:13" ht="17.25" customHeight="1" x14ac:dyDescent="0.25">
      <c r="A532" s="11">
        <v>45483</v>
      </c>
      <c r="B532" s="40" t="s">
        <v>1453</v>
      </c>
      <c r="C532" s="41" t="s">
        <v>1454</v>
      </c>
      <c r="D532" s="42" t="s">
        <v>412</v>
      </c>
      <c r="E532" s="42" t="s">
        <v>1455</v>
      </c>
      <c r="F532" s="42" t="s">
        <v>1456</v>
      </c>
      <c r="G532" s="43">
        <v>611750</v>
      </c>
      <c r="H532" s="43">
        <v>67292</v>
      </c>
      <c r="I532" s="4"/>
      <c r="M532" s="5"/>
    </row>
    <row r="533" spans="1:13" ht="17.25" customHeight="1" x14ac:dyDescent="0.25">
      <c r="A533" s="11">
        <v>45483</v>
      </c>
      <c r="B533" s="40" t="s">
        <v>1457</v>
      </c>
      <c r="C533" s="41" t="s">
        <v>1458</v>
      </c>
      <c r="D533" s="42" t="s">
        <v>865</v>
      </c>
      <c r="E533" s="42" t="s">
        <v>1459</v>
      </c>
      <c r="F533" s="42" t="s">
        <v>72</v>
      </c>
      <c r="G533" s="43">
        <v>1788000</v>
      </c>
      <c r="H533" s="43">
        <v>196680</v>
      </c>
      <c r="I533" s="4"/>
      <c r="M533" s="5"/>
    </row>
    <row r="534" spans="1:13" ht="17.25" customHeight="1" x14ac:dyDescent="0.25">
      <c r="A534" s="11">
        <v>45483</v>
      </c>
      <c r="B534" s="40" t="s">
        <v>1460</v>
      </c>
      <c r="C534" s="41" t="s">
        <v>1461</v>
      </c>
      <c r="D534" s="42" t="s">
        <v>865</v>
      </c>
      <c r="E534" s="42" t="s">
        <v>1462</v>
      </c>
      <c r="F534" s="42" t="s">
        <v>72</v>
      </c>
      <c r="G534" s="43">
        <v>5250000</v>
      </c>
      <c r="H534" s="43">
        <v>577500</v>
      </c>
      <c r="I534" s="4"/>
      <c r="M534" s="5"/>
    </row>
    <row r="535" spans="1:13" ht="17.25" customHeight="1" x14ac:dyDescent="0.25">
      <c r="A535" s="11">
        <v>45483</v>
      </c>
      <c r="B535" s="40" t="s">
        <v>1463</v>
      </c>
      <c r="C535" s="41" t="s">
        <v>1464</v>
      </c>
      <c r="D535" s="42" t="s">
        <v>412</v>
      </c>
      <c r="E535" s="42" t="s">
        <v>1189</v>
      </c>
      <c r="F535" s="42" t="s">
        <v>943</v>
      </c>
      <c r="G535" s="43">
        <v>14202292</v>
      </c>
      <c r="H535" s="43">
        <v>1562252</v>
      </c>
      <c r="I535" s="4"/>
      <c r="M535" s="5"/>
    </row>
    <row r="536" spans="1:13" ht="17.25" customHeight="1" x14ac:dyDescent="0.2">
      <c r="A536" s="1"/>
      <c r="C536" s="3"/>
      <c r="G536" s="3"/>
      <c r="H536" s="3"/>
      <c r="I536" s="4"/>
      <c r="M536" s="5"/>
    </row>
    <row r="537" spans="1:13" ht="17.25" customHeight="1" x14ac:dyDescent="0.25">
      <c r="A537" s="11">
        <v>45483</v>
      </c>
      <c r="B537" s="40" t="s">
        <v>1465</v>
      </c>
      <c r="C537" s="41" t="s">
        <v>1466</v>
      </c>
      <c r="D537" s="42" t="s">
        <v>412</v>
      </c>
      <c r="E537" s="42" t="s">
        <v>1467</v>
      </c>
      <c r="F537" s="42" t="s">
        <v>1468</v>
      </c>
      <c r="G537" s="43">
        <v>744000</v>
      </c>
      <c r="H537" s="43">
        <f t="shared" ref="H537:H544" si="16">G537*11%</f>
        <v>81840</v>
      </c>
      <c r="I537" s="4"/>
      <c r="M537" s="5"/>
    </row>
    <row r="538" spans="1:13" ht="17.25" customHeight="1" x14ac:dyDescent="0.25">
      <c r="A538" s="11">
        <v>45483</v>
      </c>
      <c r="B538" s="40" t="s">
        <v>1469</v>
      </c>
      <c r="C538" s="41" t="s">
        <v>1470</v>
      </c>
      <c r="D538" s="42" t="s">
        <v>1471</v>
      </c>
      <c r="E538" s="42" t="s">
        <v>1472</v>
      </c>
      <c r="F538" s="42" t="s">
        <v>1473</v>
      </c>
      <c r="G538" s="43">
        <v>450000</v>
      </c>
      <c r="H538" s="43">
        <f t="shared" si="16"/>
        <v>49500</v>
      </c>
      <c r="I538" s="4"/>
      <c r="M538" s="5"/>
    </row>
    <row r="539" spans="1:13" ht="17.25" customHeight="1" x14ac:dyDescent="0.25">
      <c r="A539" s="11">
        <v>45483</v>
      </c>
      <c r="B539" s="40" t="s">
        <v>1474</v>
      </c>
      <c r="C539" s="41" t="s">
        <v>1475</v>
      </c>
      <c r="D539" s="42" t="s">
        <v>412</v>
      </c>
      <c r="E539" s="42" t="s">
        <v>1476</v>
      </c>
      <c r="F539" s="42" t="s">
        <v>333</v>
      </c>
      <c r="G539" s="43">
        <v>600000</v>
      </c>
      <c r="H539" s="43">
        <f t="shared" si="16"/>
        <v>66000</v>
      </c>
      <c r="I539" s="4"/>
      <c r="M539" s="5"/>
    </row>
    <row r="540" spans="1:13" ht="17.25" customHeight="1" x14ac:dyDescent="0.25">
      <c r="A540" s="11">
        <v>45483</v>
      </c>
      <c r="B540" s="40" t="s">
        <v>1477</v>
      </c>
      <c r="C540" s="41" t="s">
        <v>1478</v>
      </c>
      <c r="D540" s="42" t="s">
        <v>412</v>
      </c>
      <c r="E540" s="42" t="s">
        <v>1476</v>
      </c>
      <c r="F540" s="42" t="s">
        <v>1106</v>
      </c>
      <c r="G540" s="43">
        <v>1965000</v>
      </c>
      <c r="H540" s="43">
        <f t="shared" si="16"/>
        <v>216150</v>
      </c>
      <c r="I540" s="4"/>
      <c r="M540" s="5"/>
    </row>
    <row r="541" spans="1:13" ht="17.25" customHeight="1" x14ac:dyDescent="0.25">
      <c r="A541" s="11">
        <v>45483</v>
      </c>
      <c r="B541" s="40" t="s">
        <v>1479</v>
      </c>
      <c r="C541" s="41" t="s">
        <v>1480</v>
      </c>
      <c r="D541" s="42" t="s">
        <v>412</v>
      </c>
      <c r="E541" s="42" t="s">
        <v>1476</v>
      </c>
      <c r="F541" s="42" t="s">
        <v>1481</v>
      </c>
      <c r="G541" s="43">
        <v>1637500</v>
      </c>
      <c r="H541" s="43">
        <f t="shared" si="16"/>
        <v>180125</v>
      </c>
      <c r="I541" s="4"/>
      <c r="M541" s="5"/>
    </row>
    <row r="542" spans="1:13" ht="17.25" customHeight="1" x14ac:dyDescent="0.25">
      <c r="A542" s="11">
        <v>45483</v>
      </c>
      <c r="B542" s="40" t="s">
        <v>1482</v>
      </c>
      <c r="C542" s="41" t="s">
        <v>1483</v>
      </c>
      <c r="D542" s="42" t="s">
        <v>412</v>
      </c>
      <c r="E542" s="42" t="s">
        <v>1484</v>
      </c>
      <c r="F542" s="42" t="s">
        <v>333</v>
      </c>
      <c r="G542" s="43">
        <v>8666665</v>
      </c>
      <c r="H542" s="43">
        <f t="shared" si="16"/>
        <v>953333.15</v>
      </c>
      <c r="I542" s="4"/>
      <c r="M542" s="5"/>
    </row>
    <row r="543" spans="1:13" ht="17.25" customHeight="1" x14ac:dyDescent="0.25">
      <c r="A543" s="11">
        <v>45483</v>
      </c>
      <c r="B543" s="40" t="s">
        <v>1485</v>
      </c>
      <c r="C543" s="41" t="s">
        <v>1486</v>
      </c>
      <c r="D543" s="42" t="s">
        <v>412</v>
      </c>
      <c r="E543" s="42" t="s">
        <v>1484</v>
      </c>
      <c r="F543" s="42" t="s">
        <v>471</v>
      </c>
      <c r="G543" s="43">
        <v>13040177</v>
      </c>
      <c r="H543" s="43">
        <f t="shared" si="16"/>
        <v>1434419.47</v>
      </c>
      <c r="I543" s="4"/>
      <c r="M543" s="5"/>
    </row>
    <row r="544" spans="1:13" ht="17.25" customHeight="1" x14ac:dyDescent="0.25">
      <c r="A544" s="11">
        <v>45483</v>
      </c>
      <c r="B544" s="40" t="s">
        <v>1487</v>
      </c>
      <c r="C544" s="41" t="s">
        <v>1488</v>
      </c>
      <c r="D544" s="42" t="s">
        <v>412</v>
      </c>
      <c r="E544" s="42" t="s">
        <v>1484</v>
      </c>
      <c r="F544" s="42" t="s">
        <v>333</v>
      </c>
      <c r="G544" s="43">
        <v>2666666</v>
      </c>
      <c r="H544" s="43">
        <f t="shared" si="16"/>
        <v>293333.26</v>
      </c>
      <c r="I544" s="4"/>
      <c r="M544" s="5"/>
    </row>
    <row r="545" spans="1:13" ht="17.25" customHeight="1" x14ac:dyDescent="0.25">
      <c r="A545" s="11">
        <v>45483</v>
      </c>
      <c r="B545" s="40" t="s">
        <v>1489</v>
      </c>
      <c r="C545" s="41" t="s">
        <v>1490</v>
      </c>
      <c r="D545" s="42" t="s">
        <v>412</v>
      </c>
      <c r="E545" s="42" t="s">
        <v>1484</v>
      </c>
      <c r="F545" s="42" t="s">
        <v>828</v>
      </c>
      <c r="G545" s="43">
        <v>19761252</v>
      </c>
      <c r="H545" s="43">
        <f>G545*11%-1</f>
        <v>2173736.7200000002</v>
      </c>
      <c r="I545" s="4"/>
      <c r="M545" s="5"/>
    </row>
    <row r="546" spans="1:13" ht="17.25" customHeight="1" x14ac:dyDescent="0.25">
      <c r="A546" s="11">
        <v>45483</v>
      </c>
      <c r="B546" s="40" t="s">
        <v>1491</v>
      </c>
      <c r="C546" s="41" t="s">
        <v>1492</v>
      </c>
      <c r="D546" s="42" t="s">
        <v>412</v>
      </c>
      <c r="E546" s="42" t="s">
        <v>1484</v>
      </c>
      <c r="F546" s="42" t="s">
        <v>333</v>
      </c>
      <c r="G546" s="43">
        <v>2666666</v>
      </c>
      <c r="H546" s="43">
        <f>G546*11%</f>
        <v>293333.26</v>
      </c>
      <c r="I546" s="4"/>
      <c r="M546" s="5"/>
    </row>
    <row r="547" spans="1:13" ht="17.25" customHeight="1" x14ac:dyDescent="0.25">
      <c r="A547" s="11">
        <v>45483</v>
      </c>
      <c r="B547" s="40" t="s">
        <v>1493</v>
      </c>
      <c r="C547" s="41" t="s">
        <v>1494</v>
      </c>
      <c r="D547" s="42" t="s">
        <v>412</v>
      </c>
      <c r="E547" s="42" t="s">
        <v>1484</v>
      </c>
      <c r="F547" s="42" t="s">
        <v>1495</v>
      </c>
      <c r="G547" s="43">
        <v>24143350</v>
      </c>
      <c r="H547" s="43">
        <f>G547*11%-1</f>
        <v>2655767.5</v>
      </c>
      <c r="I547" s="4"/>
      <c r="M547" s="5"/>
    </row>
    <row r="548" spans="1:13" ht="17.25" customHeight="1" x14ac:dyDescent="0.25">
      <c r="A548" s="11">
        <v>45483</v>
      </c>
      <c r="B548" s="40" t="s">
        <v>1496</v>
      </c>
      <c r="C548" s="41" t="s">
        <v>1497</v>
      </c>
      <c r="D548" s="42" t="s">
        <v>474</v>
      </c>
      <c r="E548" s="42" t="s">
        <v>475</v>
      </c>
      <c r="F548" s="42" t="s">
        <v>1114</v>
      </c>
      <c r="G548" s="43">
        <v>6684590</v>
      </c>
      <c r="H548" s="43">
        <f>G548*11%-1</f>
        <v>735303.9</v>
      </c>
      <c r="I548" s="4"/>
      <c r="M548" s="5"/>
    </row>
    <row r="549" spans="1:13" ht="17.25" customHeight="1" x14ac:dyDescent="0.25">
      <c r="A549" s="11">
        <v>45483</v>
      </c>
      <c r="B549" s="40" t="s">
        <v>1498</v>
      </c>
      <c r="C549" s="41" t="s">
        <v>1499</v>
      </c>
      <c r="D549" s="42" t="s">
        <v>474</v>
      </c>
      <c r="E549" s="42" t="s">
        <v>475</v>
      </c>
      <c r="F549" s="42" t="s">
        <v>1393</v>
      </c>
      <c r="G549" s="43">
        <v>4092840</v>
      </c>
      <c r="H549" s="43">
        <f>G549*11%</f>
        <v>450212.4</v>
      </c>
      <c r="I549" s="4"/>
      <c r="M549" s="5"/>
    </row>
    <row r="550" spans="1:13" ht="17.25" customHeight="1" x14ac:dyDescent="0.25">
      <c r="A550" s="11">
        <v>45483</v>
      </c>
      <c r="B550" s="40" t="s">
        <v>1500</v>
      </c>
      <c r="C550" s="41" t="s">
        <v>1501</v>
      </c>
      <c r="D550" s="42" t="s">
        <v>20</v>
      </c>
      <c r="E550" s="42" t="s">
        <v>21</v>
      </c>
      <c r="F550" s="42" t="s">
        <v>561</v>
      </c>
      <c r="G550" s="43">
        <v>72075520</v>
      </c>
      <c r="H550" s="43">
        <f>G550*11%</f>
        <v>7928307.2000000002</v>
      </c>
      <c r="I550" s="4"/>
      <c r="M550" s="5"/>
    </row>
    <row r="551" spans="1:13" ht="17.25" customHeight="1" x14ac:dyDescent="0.25">
      <c r="A551" s="11">
        <v>45483</v>
      </c>
      <c r="B551" s="40" t="s">
        <v>1502</v>
      </c>
      <c r="C551" s="41" t="s">
        <v>1503</v>
      </c>
      <c r="D551" s="42" t="s">
        <v>20</v>
      </c>
      <c r="E551" s="42" t="s">
        <v>21</v>
      </c>
      <c r="F551" s="42" t="s">
        <v>656</v>
      </c>
      <c r="G551" s="43">
        <v>76184750</v>
      </c>
      <c r="H551" s="43">
        <f>G551*11%-1</f>
        <v>8380321.5</v>
      </c>
      <c r="I551" s="4"/>
      <c r="M551" s="5"/>
    </row>
    <row r="552" spans="1:13" ht="17.25" customHeight="1" x14ac:dyDescent="0.2">
      <c r="A552" s="1"/>
      <c r="C552" s="3"/>
      <c r="G552" s="3"/>
      <c r="H552" s="3"/>
      <c r="I552" s="4"/>
      <c r="M552" s="5"/>
    </row>
    <row r="553" spans="1:13" ht="17.25" customHeight="1" x14ac:dyDescent="0.25">
      <c r="A553" s="11">
        <v>45483</v>
      </c>
      <c r="B553" s="40" t="s">
        <v>1504</v>
      </c>
      <c r="C553" s="41" t="s">
        <v>1505</v>
      </c>
      <c r="D553" s="42" t="s">
        <v>20</v>
      </c>
      <c r="E553" s="42" t="s">
        <v>21</v>
      </c>
      <c r="F553" s="42" t="s">
        <v>943</v>
      </c>
      <c r="G553" s="43">
        <v>76449850</v>
      </c>
      <c r="H553" s="43">
        <f t="shared" ref="H553:H558" si="17">G553*11%</f>
        <v>8409483.5</v>
      </c>
      <c r="I553" s="4"/>
      <c r="M553" s="5"/>
    </row>
    <row r="554" spans="1:13" ht="17.25" customHeight="1" x14ac:dyDescent="0.25">
      <c r="A554" s="11">
        <v>45483</v>
      </c>
      <c r="B554" s="40" t="s">
        <v>1506</v>
      </c>
      <c r="C554" s="41" t="s">
        <v>1507</v>
      </c>
      <c r="D554" s="42" t="s">
        <v>20</v>
      </c>
      <c r="E554" s="42" t="s">
        <v>21</v>
      </c>
      <c r="F554" s="42" t="s">
        <v>1114</v>
      </c>
      <c r="G554" s="43">
        <v>76449850</v>
      </c>
      <c r="H554" s="43">
        <f t="shared" si="17"/>
        <v>8409483.5</v>
      </c>
      <c r="I554" s="4"/>
      <c r="M554" s="5"/>
    </row>
    <row r="555" spans="1:13" ht="17.25" customHeight="1" x14ac:dyDescent="0.25">
      <c r="A555" s="11">
        <v>45483</v>
      </c>
      <c r="B555" s="40" t="s">
        <v>1508</v>
      </c>
      <c r="C555" s="41" t="s">
        <v>1509</v>
      </c>
      <c r="D555" s="42" t="s">
        <v>15</v>
      </c>
      <c r="E555" s="42" t="s">
        <v>602</v>
      </c>
      <c r="F555" s="42" t="s">
        <v>656</v>
      </c>
      <c r="G555" s="43">
        <v>405959</v>
      </c>
      <c r="H555" s="43">
        <f t="shared" si="17"/>
        <v>44655.49</v>
      </c>
      <c r="I555" s="4"/>
      <c r="M555" s="5"/>
    </row>
    <row r="556" spans="1:13" ht="17.25" customHeight="1" x14ac:dyDescent="0.25">
      <c r="A556" s="11">
        <v>45483</v>
      </c>
      <c r="B556" s="40" t="s">
        <v>1510</v>
      </c>
      <c r="C556" s="41" t="s">
        <v>1511</v>
      </c>
      <c r="D556" s="42" t="s">
        <v>46</v>
      </c>
      <c r="E556" s="42" t="s">
        <v>156</v>
      </c>
      <c r="F556" s="42" t="s">
        <v>1512</v>
      </c>
      <c r="G556" s="43">
        <v>1762200</v>
      </c>
      <c r="H556" s="43">
        <f t="shared" si="17"/>
        <v>193842</v>
      </c>
      <c r="I556" s="4"/>
      <c r="M556" s="5"/>
    </row>
    <row r="557" spans="1:13" ht="17.25" customHeight="1" x14ac:dyDescent="0.25">
      <c r="A557" s="11">
        <v>45483</v>
      </c>
      <c r="B557" s="40" t="s">
        <v>1513</v>
      </c>
      <c r="C557" s="41" t="s">
        <v>1514</v>
      </c>
      <c r="D557" s="42" t="s">
        <v>46</v>
      </c>
      <c r="E557" s="42" t="s">
        <v>156</v>
      </c>
      <c r="F557" s="42" t="s">
        <v>1393</v>
      </c>
      <c r="G557" s="43">
        <v>3438000</v>
      </c>
      <c r="H557" s="43">
        <f t="shared" si="17"/>
        <v>378180</v>
      </c>
      <c r="I557" s="4"/>
      <c r="M557" s="5"/>
    </row>
    <row r="558" spans="1:13" ht="17.25" customHeight="1" x14ac:dyDescent="0.25">
      <c r="A558" s="11">
        <v>45483</v>
      </c>
      <c r="B558" s="40" t="s">
        <v>1515</v>
      </c>
      <c r="C558" s="41" t="s">
        <v>1516</v>
      </c>
      <c r="D558" s="42" t="s">
        <v>865</v>
      </c>
      <c r="E558" s="42" t="s">
        <v>1517</v>
      </c>
      <c r="F558" s="42" t="s">
        <v>1518</v>
      </c>
      <c r="G558" s="43">
        <v>15322200</v>
      </c>
      <c r="H558" s="43">
        <f t="shared" si="17"/>
        <v>1685442</v>
      </c>
      <c r="I558" s="66"/>
      <c r="M558" s="5"/>
    </row>
    <row r="559" spans="1:13" ht="17.25" customHeight="1" x14ac:dyDescent="0.25">
      <c r="A559" s="11">
        <v>45483</v>
      </c>
      <c r="B559" s="40" t="s">
        <v>1519</v>
      </c>
      <c r="C559" s="41" t="s">
        <v>1520</v>
      </c>
      <c r="D559" s="42" t="s">
        <v>359</v>
      </c>
      <c r="E559" s="42" t="s">
        <v>159</v>
      </c>
      <c r="F559" s="42" t="s">
        <v>1393</v>
      </c>
      <c r="G559" s="43">
        <v>1668750</v>
      </c>
      <c r="H559" s="43">
        <f>G559*11%-1</f>
        <v>183561.5</v>
      </c>
      <c r="I559" s="4"/>
      <c r="M559" s="5"/>
    </row>
    <row r="560" spans="1:13" ht="17.25" customHeight="1" x14ac:dyDescent="0.25">
      <c r="A560" s="11">
        <v>45483</v>
      </c>
      <c r="B560" s="40" t="s">
        <v>1521</v>
      </c>
      <c r="C560" s="41" t="s">
        <v>1522</v>
      </c>
      <c r="D560" s="42" t="s">
        <v>359</v>
      </c>
      <c r="E560" s="42" t="s">
        <v>165</v>
      </c>
      <c r="F560" s="42" t="s">
        <v>1114</v>
      </c>
      <c r="G560" s="43">
        <v>571000</v>
      </c>
      <c r="H560" s="43">
        <f>G560*11%</f>
        <v>62810</v>
      </c>
      <c r="I560" s="65"/>
      <c r="M560" s="5"/>
    </row>
    <row r="561" spans="1:13" ht="17.25" customHeight="1" x14ac:dyDescent="0.25">
      <c r="A561" s="11">
        <v>45483</v>
      </c>
      <c r="B561" s="40" t="s">
        <v>1523</v>
      </c>
      <c r="C561" s="41" t="s">
        <v>1524</v>
      </c>
      <c r="D561" s="42" t="s">
        <v>359</v>
      </c>
      <c r="E561" s="42" t="s">
        <v>165</v>
      </c>
      <c r="F561" s="42" t="s">
        <v>1393</v>
      </c>
      <c r="G561" s="43">
        <v>571000</v>
      </c>
      <c r="H561" s="43">
        <f>G561*11%</f>
        <v>62810</v>
      </c>
      <c r="I561" s="65"/>
      <c r="M561" s="5"/>
    </row>
    <row r="562" spans="1:13" ht="17.25" customHeight="1" x14ac:dyDescent="0.25">
      <c r="A562" s="11">
        <v>45483</v>
      </c>
      <c r="B562" s="40" t="s">
        <v>1525</v>
      </c>
      <c r="C562" s="41" t="s">
        <v>1526</v>
      </c>
      <c r="D562" s="42" t="s">
        <v>359</v>
      </c>
      <c r="E562" s="42" t="s">
        <v>367</v>
      </c>
      <c r="F562" s="42" t="s">
        <v>1114</v>
      </c>
      <c r="G562" s="43">
        <v>1049670</v>
      </c>
      <c r="H562" s="64">
        <f>G562*11%-1</f>
        <v>115462.7</v>
      </c>
      <c r="I562" s="65"/>
      <c r="M562" s="5"/>
    </row>
    <row r="563" spans="1:13" ht="17.25" customHeight="1" x14ac:dyDescent="0.25">
      <c r="A563" s="11">
        <v>45483</v>
      </c>
      <c r="B563" s="40" t="s">
        <v>1527</v>
      </c>
      <c r="C563" s="41" t="s">
        <v>1528</v>
      </c>
      <c r="D563" s="42" t="s">
        <v>359</v>
      </c>
      <c r="E563" s="42" t="s">
        <v>367</v>
      </c>
      <c r="F563" s="42" t="s">
        <v>1393</v>
      </c>
      <c r="G563" s="43">
        <v>330000</v>
      </c>
      <c r="H563" s="43">
        <f>G563*11%</f>
        <v>36300</v>
      </c>
      <c r="I563" s="65"/>
      <c r="M563" s="5"/>
    </row>
    <row r="564" spans="1:13" ht="17.25" customHeight="1" x14ac:dyDescent="0.25">
      <c r="A564" s="11">
        <v>45483</v>
      </c>
      <c r="B564" s="40" t="s">
        <v>1529</v>
      </c>
      <c r="C564" s="41" t="s">
        <v>1530</v>
      </c>
      <c r="D564" s="42" t="s">
        <v>359</v>
      </c>
      <c r="E564" s="42" t="s">
        <v>364</v>
      </c>
      <c r="F564" s="42" t="s">
        <v>618</v>
      </c>
      <c r="G564" s="43">
        <v>900000</v>
      </c>
      <c r="H564" s="43">
        <f>G564*11%</f>
        <v>99000</v>
      </c>
      <c r="I564" s="65"/>
      <c r="M564" s="5"/>
    </row>
    <row r="565" spans="1:13" ht="17.25" customHeight="1" x14ac:dyDescent="0.25">
      <c r="A565" s="11">
        <v>45483</v>
      </c>
      <c r="B565" s="40" t="s">
        <v>1531</v>
      </c>
      <c r="C565" s="41" t="s">
        <v>1532</v>
      </c>
      <c r="D565" s="42" t="s">
        <v>359</v>
      </c>
      <c r="E565" s="42" t="s">
        <v>364</v>
      </c>
      <c r="F565" s="42" t="s">
        <v>1114</v>
      </c>
      <c r="G565" s="43">
        <v>4477650</v>
      </c>
      <c r="H565" s="43">
        <f>G565*11%-1</f>
        <v>492540.5</v>
      </c>
      <c r="I565" s="67"/>
      <c r="M565" s="5"/>
    </row>
    <row r="566" spans="1:13" ht="17.25" customHeight="1" x14ac:dyDescent="0.25">
      <c r="A566" s="11">
        <v>45483</v>
      </c>
      <c r="B566" s="40" t="s">
        <v>1533</v>
      </c>
      <c r="C566" s="41" t="s">
        <v>1534</v>
      </c>
      <c r="D566" s="42" t="s">
        <v>359</v>
      </c>
      <c r="E566" s="42" t="s">
        <v>364</v>
      </c>
      <c r="F566" s="42" t="s">
        <v>618</v>
      </c>
      <c r="G566" s="43">
        <v>900000</v>
      </c>
      <c r="H566" s="43">
        <f>G566*11%</f>
        <v>99000</v>
      </c>
      <c r="I566" s="67"/>
      <c r="M566" s="5"/>
    </row>
    <row r="567" spans="1:13" ht="17.25" customHeight="1" x14ac:dyDescent="0.25">
      <c r="A567" s="11">
        <v>45483</v>
      </c>
      <c r="B567" s="40" t="s">
        <v>1535</v>
      </c>
      <c r="C567" s="41" t="s">
        <v>1536</v>
      </c>
      <c r="D567" s="42" t="s">
        <v>359</v>
      </c>
      <c r="E567" s="42" t="s">
        <v>364</v>
      </c>
      <c r="F567" s="42" t="s">
        <v>1393</v>
      </c>
      <c r="G567" s="43">
        <v>1477650</v>
      </c>
      <c r="H567" s="64">
        <f>G567*11%-1</f>
        <v>162540.5</v>
      </c>
      <c r="I567" s="67"/>
      <c r="M567" s="5"/>
    </row>
    <row r="568" spans="1:13" ht="17.25" customHeight="1" x14ac:dyDescent="0.25">
      <c r="A568" s="1"/>
      <c r="C568" s="3"/>
      <c r="G568" s="3"/>
      <c r="H568" s="3"/>
      <c r="I568" s="67"/>
      <c r="M568" s="5"/>
    </row>
    <row r="569" spans="1:13" ht="17.25" customHeight="1" x14ac:dyDescent="0.25">
      <c r="A569" s="11">
        <v>45490</v>
      </c>
      <c r="B569" s="40" t="s">
        <v>1537</v>
      </c>
      <c r="C569" s="41" t="s">
        <v>1538</v>
      </c>
      <c r="D569" s="42" t="s">
        <v>15</v>
      </c>
      <c r="E569" s="42" t="s">
        <v>1539</v>
      </c>
      <c r="F569" s="42" t="s">
        <v>656</v>
      </c>
      <c r="G569" s="43">
        <v>22192450</v>
      </c>
      <c r="H569" s="43">
        <f>G569*11%-1</f>
        <v>2441168.5</v>
      </c>
      <c r="I569" s="67"/>
      <c r="M569" s="5"/>
    </row>
    <row r="570" spans="1:13" ht="17.25" customHeight="1" x14ac:dyDescent="0.25">
      <c r="A570" s="11">
        <v>45495</v>
      </c>
      <c r="B570" s="40" t="s">
        <v>1540</v>
      </c>
      <c r="C570" s="41" t="s">
        <v>1541</v>
      </c>
      <c r="D570" s="42" t="s">
        <v>15</v>
      </c>
      <c r="E570" s="42" t="s">
        <v>588</v>
      </c>
      <c r="F570" s="42" t="s">
        <v>943</v>
      </c>
      <c r="G570" s="43">
        <v>58423520</v>
      </c>
      <c r="H570" s="43">
        <f>G570*11%</f>
        <v>6426587.2000000002</v>
      </c>
      <c r="I570" s="67"/>
      <c r="M570" s="5"/>
    </row>
    <row r="571" spans="1:13" ht="17.25" customHeight="1" x14ac:dyDescent="0.25">
      <c r="A571" s="11">
        <v>45495</v>
      </c>
      <c r="B571" s="40" t="s">
        <v>1542</v>
      </c>
      <c r="C571" s="41" t="s">
        <v>1543</v>
      </c>
      <c r="D571" s="42" t="s">
        <v>15</v>
      </c>
      <c r="E571" s="42" t="s">
        <v>588</v>
      </c>
      <c r="F571" s="42" t="s">
        <v>1114</v>
      </c>
      <c r="G571" s="43">
        <v>52344700</v>
      </c>
      <c r="H571" s="43">
        <f>G571*11%</f>
        <v>5757917</v>
      </c>
      <c r="I571" s="67"/>
      <c r="M571" s="5"/>
    </row>
    <row r="572" spans="1:13" ht="17.25" customHeight="1" x14ac:dyDescent="0.25">
      <c r="A572" s="11">
        <v>45495</v>
      </c>
      <c r="B572" s="40" t="s">
        <v>1544</v>
      </c>
      <c r="C572" s="41" t="s">
        <v>1545</v>
      </c>
      <c r="D572" s="42" t="s">
        <v>15</v>
      </c>
      <c r="E572" s="42" t="s">
        <v>578</v>
      </c>
      <c r="F572" s="42" t="s">
        <v>943</v>
      </c>
      <c r="G572" s="43">
        <v>6395170</v>
      </c>
      <c r="H572" s="43">
        <f>G572*11%-1</f>
        <v>703467.7</v>
      </c>
      <c r="I572" s="67"/>
      <c r="M572" s="5"/>
    </row>
    <row r="573" spans="1:13" ht="17.25" customHeight="1" x14ac:dyDescent="0.25">
      <c r="A573" s="11">
        <v>45495</v>
      </c>
      <c r="B573" s="40" t="s">
        <v>1546</v>
      </c>
      <c r="C573" s="41" t="s">
        <v>1547</v>
      </c>
      <c r="D573" s="42" t="s">
        <v>15</v>
      </c>
      <c r="E573" s="42" t="s">
        <v>578</v>
      </c>
      <c r="F573" s="42" t="s">
        <v>1114</v>
      </c>
      <c r="G573" s="43">
        <v>3245920</v>
      </c>
      <c r="H573" s="43">
        <f>G573*11%</f>
        <v>357051.2</v>
      </c>
      <c r="I573" s="67"/>
      <c r="M573" s="5"/>
    </row>
    <row r="574" spans="1:13" ht="17.25" customHeight="1" x14ac:dyDescent="0.25">
      <c r="A574" s="11">
        <v>45495</v>
      </c>
      <c r="B574" s="40" t="s">
        <v>1548</v>
      </c>
      <c r="C574" s="41" t="s">
        <v>1549</v>
      </c>
      <c r="D574" s="42" t="s">
        <v>412</v>
      </c>
      <c r="E574" s="42" t="s">
        <v>1455</v>
      </c>
      <c r="F574" s="42" t="s">
        <v>1550</v>
      </c>
      <c r="G574" s="43">
        <v>368125</v>
      </c>
      <c r="H574" s="43">
        <f>G574*11%-1</f>
        <v>40492.75</v>
      </c>
      <c r="I574" s="67"/>
      <c r="M574" s="5"/>
    </row>
    <row r="575" spans="1:13" ht="17.25" customHeight="1" x14ac:dyDescent="0.25">
      <c r="A575" s="11">
        <v>45495</v>
      </c>
      <c r="B575" s="40" t="s">
        <v>1551</v>
      </c>
      <c r="C575" s="41" t="s">
        <v>1552</v>
      </c>
      <c r="D575" s="42" t="s">
        <v>412</v>
      </c>
      <c r="E575" s="42" t="s">
        <v>1455</v>
      </c>
      <c r="F575" s="42" t="s">
        <v>1553</v>
      </c>
      <c r="G575" s="43">
        <v>441750</v>
      </c>
      <c r="H575" s="43">
        <f>G575*11%-1</f>
        <v>48591.5</v>
      </c>
      <c r="I575" s="4"/>
      <c r="M575" s="5"/>
    </row>
    <row r="576" spans="1:13" ht="17.25" customHeight="1" x14ac:dyDescent="0.25">
      <c r="A576" s="11">
        <v>45495</v>
      </c>
      <c r="B576" s="40" t="s">
        <v>1554</v>
      </c>
      <c r="C576" s="41" t="s">
        <v>1555</v>
      </c>
      <c r="D576" s="42" t="s">
        <v>412</v>
      </c>
      <c r="E576" s="42" t="s">
        <v>1455</v>
      </c>
      <c r="F576" s="42" t="s">
        <v>618</v>
      </c>
      <c r="G576" s="43">
        <v>400000</v>
      </c>
      <c r="H576" s="43">
        <f>G576*11%</f>
        <v>44000</v>
      </c>
      <c r="I576" s="4"/>
      <c r="M576" s="5"/>
    </row>
    <row r="577" spans="1:13" ht="17.25" customHeight="1" x14ac:dyDescent="0.25">
      <c r="A577" s="11">
        <v>45495</v>
      </c>
      <c r="B577" s="40" t="s">
        <v>1556</v>
      </c>
      <c r="C577" s="41" t="s">
        <v>1557</v>
      </c>
      <c r="D577" s="42" t="s">
        <v>412</v>
      </c>
      <c r="E577" s="42" t="s">
        <v>1455</v>
      </c>
      <c r="F577" s="42" t="s">
        <v>1558</v>
      </c>
      <c r="G577" s="43">
        <v>433596</v>
      </c>
      <c r="H577" s="43">
        <f>G577*11%-1</f>
        <v>47694.559999999998</v>
      </c>
      <c r="I577" s="4"/>
      <c r="M577" s="5"/>
    </row>
    <row r="578" spans="1:13" ht="17.25" customHeight="1" x14ac:dyDescent="0.25">
      <c r="A578" s="11">
        <v>45495</v>
      </c>
      <c r="B578" s="40" t="s">
        <v>1559</v>
      </c>
      <c r="C578" s="41" t="s">
        <v>1560</v>
      </c>
      <c r="D578" s="42" t="s">
        <v>412</v>
      </c>
      <c r="E578" s="42" t="s">
        <v>1189</v>
      </c>
      <c r="F578" s="42" t="s">
        <v>1114</v>
      </c>
      <c r="G578" s="43">
        <v>18393072</v>
      </c>
      <c r="H578" s="43">
        <f>G578*11%-1</f>
        <v>2023236.92</v>
      </c>
      <c r="I578" s="4"/>
      <c r="M578" s="5"/>
    </row>
    <row r="579" spans="1:13" ht="17.25" customHeight="1" x14ac:dyDescent="0.25">
      <c r="A579" s="11">
        <v>45495</v>
      </c>
      <c r="B579" s="40" t="s">
        <v>1561</v>
      </c>
      <c r="C579" s="41" t="s">
        <v>1562</v>
      </c>
      <c r="D579" s="42" t="s">
        <v>412</v>
      </c>
      <c r="E579" s="42" t="s">
        <v>1189</v>
      </c>
      <c r="F579" s="42" t="s">
        <v>1393</v>
      </c>
      <c r="G579" s="43">
        <v>24223667</v>
      </c>
      <c r="H579" s="43">
        <f>G579*11%</f>
        <v>2664603.37</v>
      </c>
      <c r="I579" s="4"/>
      <c r="M579" s="5"/>
    </row>
    <row r="580" spans="1:13" ht="17.25" customHeight="1" x14ac:dyDescent="0.25">
      <c r="A580" s="11">
        <v>45495</v>
      </c>
      <c r="B580" s="40" t="s">
        <v>1563</v>
      </c>
      <c r="C580" s="41" t="s">
        <v>1564</v>
      </c>
      <c r="D580" s="42" t="s">
        <v>865</v>
      </c>
      <c r="E580" s="42" t="s">
        <v>1565</v>
      </c>
      <c r="F580" s="42" t="s">
        <v>1393</v>
      </c>
      <c r="G580" s="43">
        <v>4575000</v>
      </c>
      <c r="H580" s="43">
        <f>G580*11%</f>
        <v>503250</v>
      </c>
      <c r="I580" s="4"/>
      <c r="M580" s="5"/>
    </row>
    <row r="581" spans="1:13" ht="17.25" customHeight="1" x14ac:dyDescent="0.25">
      <c r="A581" s="11">
        <v>45495</v>
      </c>
      <c r="B581" s="40" t="s">
        <v>1566</v>
      </c>
      <c r="C581" s="41" t="s">
        <v>1567</v>
      </c>
      <c r="D581" s="42" t="s">
        <v>865</v>
      </c>
      <c r="E581" s="42" t="s">
        <v>1568</v>
      </c>
      <c r="F581" s="42" t="s">
        <v>1569</v>
      </c>
      <c r="G581" s="43">
        <v>8466000</v>
      </c>
      <c r="H581" s="43">
        <f>G581*11%</f>
        <v>931260</v>
      </c>
      <c r="I581" s="4"/>
      <c r="M581" s="5"/>
    </row>
    <row r="582" spans="1:13" ht="17.25" customHeight="1" x14ac:dyDescent="0.25">
      <c r="A582" s="11">
        <v>45495</v>
      </c>
      <c r="B582" s="40" t="s">
        <v>1570</v>
      </c>
      <c r="C582" s="41" t="s">
        <v>1571</v>
      </c>
      <c r="D582" s="42" t="s">
        <v>137</v>
      </c>
      <c r="E582" s="42" t="s">
        <v>966</v>
      </c>
      <c r="F582" s="42" t="s">
        <v>1393</v>
      </c>
      <c r="G582" s="43">
        <v>25560</v>
      </c>
      <c r="H582" s="43">
        <f>G582*11%-1</f>
        <v>2810.6</v>
      </c>
      <c r="I582" s="4"/>
      <c r="M582" s="5"/>
    </row>
    <row r="583" spans="1:13" ht="17.25" customHeight="1" x14ac:dyDescent="0.25">
      <c r="A583" s="11">
        <v>45495</v>
      </c>
      <c r="B583" s="40" t="s">
        <v>1572</v>
      </c>
      <c r="C583" s="41" t="s">
        <v>1573</v>
      </c>
      <c r="D583" s="42" t="s">
        <v>137</v>
      </c>
      <c r="E583" s="42" t="s">
        <v>494</v>
      </c>
      <c r="F583" s="42" t="s">
        <v>1393</v>
      </c>
      <c r="G583" s="43">
        <v>191440</v>
      </c>
      <c r="H583" s="43">
        <f>G583*11%</f>
        <v>21058.400000000001</v>
      </c>
      <c r="I583" s="4"/>
      <c r="M583" s="5"/>
    </row>
    <row r="584" spans="1:13" ht="17.25" customHeight="1" x14ac:dyDescent="0.25">
      <c r="A584" s="11">
        <v>45495</v>
      </c>
      <c r="B584" s="40" t="s">
        <v>1574</v>
      </c>
      <c r="C584" s="41" t="s">
        <v>1575</v>
      </c>
      <c r="D584" s="42" t="s">
        <v>137</v>
      </c>
      <c r="E584" s="42" t="s">
        <v>1267</v>
      </c>
      <c r="F584" s="42" t="s">
        <v>1393</v>
      </c>
      <c r="G584" s="43">
        <v>13500</v>
      </c>
      <c r="H584" s="43">
        <f>G584*11%</f>
        <v>1485</v>
      </c>
      <c r="I584" s="4"/>
      <c r="M584" s="5"/>
    </row>
    <row r="585" spans="1:13" ht="17.25" customHeight="1" x14ac:dyDescent="0.25">
      <c r="A585" s="11">
        <v>45495</v>
      </c>
      <c r="B585" s="40" t="s">
        <v>1576</v>
      </c>
      <c r="C585" s="41" t="s">
        <v>1577</v>
      </c>
      <c r="D585" s="42" t="s">
        <v>137</v>
      </c>
      <c r="E585" s="42" t="s">
        <v>159</v>
      </c>
      <c r="F585" s="42" t="s">
        <v>1393</v>
      </c>
      <c r="G585" s="43">
        <v>54000</v>
      </c>
      <c r="H585" s="43">
        <f>G585*11%</f>
        <v>5940</v>
      </c>
      <c r="I585" s="4"/>
      <c r="M585" s="5"/>
    </row>
    <row r="586" spans="1:13" ht="17.25" customHeight="1" x14ac:dyDescent="0.25">
      <c r="A586" s="11">
        <v>45495</v>
      </c>
      <c r="B586" s="40" t="s">
        <v>1578</v>
      </c>
      <c r="C586" s="41" t="s">
        <v>1579</v>
      </c>
      <c r="D586" s="42" t="s">
        <v>137</v>
      </c>
      <c r="E586" s="42" t="s">
        <v>1580</v>
      </c>
      <c r="F586" s="42" t="s">
        <v>1393</v>
      </c>
      <c r="G586" s="43">
        <v>436560</v>
      </c>
      <c r="H586" s="43">
        <f>G586*11%-1</f>
        <v>48020.6</v>
      </c>
      <c r="I586" s="4"/>
      <c r="M586" s="5"/>
    </row>
    <row r="587" spans="1:13" ht="17.25" customHeight="1" x14ac:dyDescent="0.25">
      <c r="A587" s="11">
        <v>45495</v>
      </c>
      <c r="B587" s="40" t="s">
        <v>1581</v>
      </c>
      <c r="C587" s="41" t="s">
        <v>1582</v>
      </c>
      <c r="D587" s="42" t="s">
        <v>137</v>
      </c>
      <c r="E587" s="42" t="s">
        <v>1583</v>
      </c>
      <c r="F587" s="42" t="s">
        <v>1584</v>
      </c>
      <c r="G587" s="43">
        <v>2589050</v>
      </c>
      <c r="H587" s="43">
        <f>G587*11%-1</f>
        <v>284794.5</v>
      </c>
      <c r="I587" s="4"/>
      <c r="M587" s="5"/>
    </row>
    <row r="588" spans="1:13" ht="17.25" customHeight="1" x14ac:dyDescent="0.25">
      <c r="A588" s="11">
        <v>45495</v>
      </c>
      <c r="B588" s="40" t="s">
        <v>1585</v>
      </c>
      <c r="C588" s="41" t="s">
        <v>1586</v>
      </c>
      <c r="D588" s="42" t="s">
        <v>137</v>
      </c>
      <c r="E588" s="42" t="s">
        <v>1587</v>
      </c>
      <c r="F588" s="42" t="s">
        <v>1588</v>
      </c>
      <c r="G588" s="43">
        <v>266000</v>
      </c>
      <c r="H588" s="43">
        <f>G588*11%</f>
        <v>29260</v>
      </c>
      <c r="I588" s="4"/>
      <c r="M588" s="5"/>
    </row>
    <row r="589" spans="1:13" ht="17.25" customHeight="1" x14ac:dyDescent="0.25">
      <c r="A589" s="11">
        <v>45495</v>
      </c>
      <c r="B589" s="40" t="s">
        <v>1589</v>
      </c>
      <c r="C589" s="41" t="s">
        <v>1590</v>
      </c>
      <c r="D589" s="42" t="s">
        <v>328</v>
      </c>
      <c r="E589" s="42" t="s">
        <v>500</v>
      </c>
      <c r="F589" s="42" t="s">
        <v>1393</v>
      </c>
      <c r="G589" s="43">
        <v>31112500</v>
      </c>
      <c r="H589" s="43">
        <f>G589*11%</f>
        <v>3422375</v>
      </c>
      <c r="I589" s="4"/>
      <c r="M589" s="5"/>
    </row>
    <row r="590" spans="1:13" ht="17.25" customHeight="1" x14ac:dyDescent="0.25">
      <c r="A590" s="11">
        <v>45495</v>
      </c>
      <c r="B590" s="40" t="s">
        <v>1591</v>
      </c>
      <c r="C590" s="41" t="s">
        <v>1592</v>
      </c>
      <c r="D590" s="42" t="s">
        <v>328</v>
      </c>
      <c r="E590" s="42" t="s">
        <v>1091</v>
      </c>
      <c r="F590" s="42" t="s">
        <v>1393</v>
      </c>
      <c r="G590" s="43">
        <v>2737500</v>
      </c>
      <c r="H590" s="43">
        <f>G590*11%</f>
        <v>301125</v>
      </c>
      <c r="I590" s="4"/>
      <c r="M590" s="5"/>
    </row>
    <row r="591" spans="1:13" ht="17.25" customHeight="1" x14ac:dyDescent="0.25">
      <c r="A591" s="11">
        <v>45495</v>
      </c>
      <c r="B591" s="40" t="s">
        <v>1593</v>
      </c>
      <c r="C591" s="41" t="s">
        <v>1594</v>
      </c>
      <c r="D591" s="42" t="s">
        <v>328</v>
      </c>
      <c r="E591" s="42" t="s">
        <v>1595</v>
      </c>
      <c r="F591" s="42" t="s">
        <v>1584</v>
      </c>
      <c r="G591" s="43">
        <v>2472500</v>
      </c>
      <c r="H591" s="43">
        <f>G591*11%</f>
        <v>271975</v>
      </c>
      <c r="I591" s="4"/>
      <c r="M591" s="5"/>
    </row>
    <row r="592" spans="1:13" ht="17.25" customHeight="1" x14ac:dyDescent="0.25">
      <c r="A592" s="11">
        <v>45495</v>
      </c>
      <c r="B592" s="40" t="s">
        <v>1596</v>
      </c>
      <c r="C592" s="41" t="s">
        <v>1597</v>
      </c>
      <c r="D592" s="42" t="s">
        <v>412</v>
      </c>
      <c r="E592" s="42" t="s">
        <v>1484</v>
      </c>
      <c r="F592" s="42" t="s">
        <v>1550</v>
      </c>
      <c r="G592" s="43">
        <v>20650625</v>
      </c>
      <c r="H592" s="43">
        <f>G592*11%-1</f>
        <v>2271567.75</v>
      </c>
      <c r="I592" s="4"/>
      <c r="M592" s="5"/>
    </row>
    <row r="593" spans="1:13" ht="17.25" customHeight="1" x14ac:dyDescent="0.25">
      <c r="A593" s="11">
        <v>45495</v>
      </c>
      <c r="B593" s="40" t="s">
        <v>1598</v>
      </c>
      <c r="C593" s="41" t="s">
        <v>1599</v>
      </c>
      <c r="D593" s="42" t="s">
        <v>15</v>
      </c>
      <c r="E593" s="42" t="s">
        <v>1600</v>
      </c>
      <c r="F593" s="42" t="s">
        <v>561</v>
      </c>
      <c r="G593" s="43">
        <v>40393986</v>
      </c>
      <c r="H593" s="43">
        <f>G593*11%</f>
        <v>4443338.46</v>
      </c>
      <c r="I593" s="4"/>
      <c r="M593" s="5"/>
    </row>
    <row r="594" spans="1:13" ht="17.25" customHeight="1" x14ac:dyDescent="0.25">
      <c r="A594" s="11">
        <v>45495</v>
      </c>
      <c r="B594" s="40" t="s">
        <v>1601</v>
      </c>
      <c r="C594" s="41" t="s">
        <v>1602</v>
      </c>
      <c r="D594" s="42" t="s">
        <v>412</v>
      </c>
      <c r="E594" s="42" t="s">
        <v>1182</v>
      </c>
      <c r="F594" s="42" t="s">
        <v>333</v>
      </c>
      <c r="G594" s="43">
        <v>1400000</v>
      </c>
      <c r="H594" s="43">
        <f>G594*11%</f>
        <v>154000</v>
      </c>
      <c r="I594" s="4"/>
      <c r="M594" s="5"/>
    </row>
    <row r="595" spans="1:13" ht="17.25" customHeight="1" x14ac:dyDescent="0.25">
      <c r="A595" s="11">
        <v>45495</v>
      </c>
      <c r="B595" s="40" t="s">
        <v>1603</v>
      </c>
      <c r="C595" s="41" t="s">
        <v>1604</v>
      </c>
      <c r="D595" s="42" t="s">
        <v>412</v>
      </c>
      <c r="E595" s="42" t="s">
        <v>1182</v>
      </c>
      <c r="F595" s="42" t="s">
        <v>1605</v>
      </c>
      <c r="G595" s="43">
        <v>13374379</v>
      </c>
      <c r="H595" s="43">
        <f>G595*11%-1</f>
        <v>1471180.69</v>
      </c>
      <c r="I595" s="4"/>
      <c r="M595" s="5"/>
    </row>
    <row r="596" spans="1:13" ht="17.25" customHeight="1" x14ac:dyDescent="0.25">
      <c r="A596" s="11">
        <v>45495</v>
      </c>
      <c r="B596" s="40" t="s">
        <v>1606</v>
      </c>
      <c r="C596" s="41" t="s">
        <v>1607</v>
      </c>
      <c r="D596" s="42" t="s">
        <v>412</v>
      </c>
      <c r="E596" s="42" t="s">
        <v>1182</v>
      </c>
      <c r="F596" s="42" t="s">
        <v>333</v>
      </c>
      <c r="G596" s="43">
        <v>1400000</v>
      </c>
      <c r="H596" s="43">
        <f>G596*11%</f>
        <v>154000</v>
      </c>
      <c r="I596" s="4"/>
      <c r="M596" s="5"/>
    </row>
    <row r="597" spans="1:13" ht="17.25" customHeight="1" x14ac:dyDescent="0.25">
      <c r="A597" s="11">
        <v>45495</v>
      </c>
      <c r="B597" s="40" t="s">
        <v>1608</v>
      </c>
      <c r="C597" s="41" t="s">
        <v>1609</v>
      </c>
      <c r="D597" s="42" t="s">
        <v>412</v>
      </c>
      <c r="E597" s="42" t="s">
        <v>1182</v>
      </c>
      <c r="F597" s="42" t="s">
        <v>1610</v>
      </c>
      <c r="G597" s="43">
        <v>19850578</v>
      </c>
      <c r="H597" s="43">
        <f>G597*11%-1</f>
        <v>2183562.58</v>
      </c>
      <c r="I597" s="4"/>
      <c r="M597" s="5"/>
    </row>
    <row r="598" spans="1:13" ht="17.25" customHeight="1" x14ac:dyDescent="0.25">
      <c r="A598" s="11">
        <v>45495</v>
      </c>
      <c r="B598" s="40" t="s">
        <v>1611</v>
      </c>
      <c r="C598" s="41" t="s">
        <v>1612</v>
      </c>
      <c r="D598" s="42" t="s">
        <v>412</v>
      </c>
      <c r="E598" s="42" t="s">
        <v>1182</v>
      </c>
      <c r="F598" s="42" t="s">
        <v>618</v>
      </c>
      <c r="G598" s="43">
        <v>700000</v>
      </c>
      <c r="H598" s="43">
        <f>G598*11%</f>
        <v>77000</v>
      </c>
      <c r="I598" s="4"/>
      <c r="M598" s="5"/>
    </row>
    <row r="599" spans="1:13" ht="17.25" customHeight="1" x14ac:dyDescent="0.25">
      <c r="A599" s="11">
        <v>45495</v>
      </c>
      <c r="B599" s="40" t="s">
        <v>1613</v>
      </c>
      <c r="C599" s="41" t="s">
        <v>1614</v>
      </c>
      <c r="D599" s="42" t="s">
        <v>412</v>
      </c>
      <c r="E599" s="42" t="s">
        <v>1182</v>
      </c>
      <c r="F599" s="42" t="s">
        <v>1615</v>
      </c>
      <c r="G599" s="43">
        <v>13079215</v>
      </c>
      <c r="H599" s="43">
        <f>G599*11%-1</f>
        <v>1438712.65</v>
      </c>
      <c r="I599" s="4"/>
      <c r="M599" s="5"/>
    </row>
    <row r="600" spans="1:13" ht="17.25" customHeight="1" x14ac:dyDescent="0.25">
      <c r="A600" s="11">
        <v>45495</v>
      </c>
      <c r="B600" s="40" t="s">
        <v>1616</v>
      </c>
      <c r="C600" s="41" t="s">
        <v>1617</v>
      </c>
      <c r="D600" s="42" t="s">
        <v>412</v>
      </c>
      <c r="E600" s="42" t="s">
        <v>1182</v>
      </c>
      <c r="F600" s="42" t="s">
        <v>902</v>
      </c>
      <c r="G600" s="43">
        <v>10564250</v>
      </c>
      <c r="H600" s="43">
        <f>G600*11%-1</f>
        <v>1162066.5</v>
      </c>
      <c r="I600" s="4"/>
      <c r="M600" s="5"/>
    </row>
    <row r="601" spans="1:13" ht="17.25" customHeight="1" x14ac:dyDescent="0.25">
      <c r="A601" s="11">
        <v>45495</v>
      </c>
      <c r="B601" s="40" t="s">
        <v>1618</v>
      </c>
      <c r="C601" s="41" t="s">
        <v>1619</v>
      </c>
      <c r="D601" s="42" t="s">
        <v>412</v>
      </c>
      <c r="E601" s="42" t="s">
        <v>1182</v>
      </c>
      <c r="F601" s="42" t="s">
        <v>618</v>
      </c>
      <c r="G601" s="43">
        <v>1400000</v>
      </c>
      <c r="H601" s="43">
        <f>G601*11%</f>
        <v>154000</v>
      </c>
      <c r="I601" s="4"/>
      <c r="M601" s="5"/>
    </row>
    <row r="602" spans="1:13" ht="17.25" customHeight="1" x14ac:dyDescent="0.25">
      <c r="A602" s="11">
        <v>45495</v>
      </c>
      <c r="B602" s="40" t="s">
        <v>1620</v>
      </c>
      <c r="C602" s="41" t="s">
        <v>1621</v>
      </c>
      <c r="D602" s="42" t="s">
        <v>412</v>
      </c>
      <c r="E602" s="42" t="s">
        <v>1182</v>
      </c>
      <c r="F602" s="42" t="s">
        <v>1359</v>
      </c>
      <c r="G602" s="43">
        <v>7629153</v>
      </c>
      <c r="H602" s="43">
        <f>G602*11%-1</f>
        <v>839205.83</v>
      </c>
      <c r="I602" s="4"/>
      <c r="M602" s="5"/>
    </row>
    <row r="603" spans="1:13" ht="17.25" customHeight="1" x14ac:dyDescent="0.25">
      <c r="A603" s="11">
        <v>45495</v>
      </c>
      <c r="B603" s="40" t="s">
        <v>1622</v>
      </c>
      <c r="C603" s="41" t="s">
        <v>1623</v>
      </c>
      <c r="D603" s="42" t="s">
        <v>15</v>
      </c>
      <c r="E603" s="42" t="s">
        <v>1539</v>
      </c>
      <c r="F603" s="42" t="s">
        <v>943</v>
      </c>
      <c r="G603" s="43">
        <v>14066600</v>
      </c>
      <c r="H603" s="43">
        <f>G603*11%</f>
        <v>1547326</v>
      </c>
      <c r="I603" s="4"/>
      <c r="M603" s="5"/>
    </row>
    <row r="604" spans="1:13" ht="17.25" customHeight="1" x14ac:dyDescent="0.25">
      <c r="A604" s="11">
        <v>45495</v>
      </c>
      <c r="B604" s="40" t="s">
        <v>1624</v>
      </c>
      <c r="C604" s="41" t="s">
        <v>1625</v>
      </c>
      <c r="D604" s="42" t="s">
        <v>898</v>
      </c>
      <c r="E604" s="42" t="s">
        <v>1626</v>
      </c>
      <c r="F604" s="42" t="s">
        <v>1627</v>
      </c>
      <c r="G604" s="43">
        <v>11650000</v>
      </c>
      <c r="H604" s="43">
        <f>G604*11%</f>
        <v>1281500</v>
      </c>
      <c r="I604" s="4"/>
      <c r="M604" s="5"/>
    </row>
    <row r="605" spans="1:13" ht="17.25" customHeight="1" x14ac:dyDescent="0.25">
      <c r="A605" s="11">
        <v>45495</v>
      </c>
      <c r="B605" s="40" t="s">
        <v>1628</v>
      </c>
      <c r="C605" s="41" t="s">
        <v>1629</v>
      </c>
      <c r="D605" s="42" t="s">
        <v>898</v>
      </c>
      <c r="E605" s="42" t="s">
        <v>1630</v>
      </c>
      <c r="F605" s="42" t="s">
        <v>1442</v>
      </c>
      <c r="G605" s="43">
        <v>10160000</v>
      </c>
      <c r="H605" s="43">
        <f>G605*11%</f>
        <v>1117600</v>
      </c>
      <c r="I605" s="4"/>
      <c r="M605" s="5"/>
    </row>
    <row r="606" spans="1:13" ht="17.25" customHeight="1" x14ac:dyDescent="0.25">
      <c r="A606" s="11">
        <v>45496</v>
      </c>
      <c r="B606" s="40" t="s">
        <v>1631</v>
      </c>
      <c r="C606" s="41" t="s">
        <v>1632</v>
      </c>
      <c r="D606" s="42" t="s">
        <v>46</v>
      </c>
      <c r="E606" s="42" t="s">
        <v>1633</v>
      </c>
      <c r="F606" s="42" t="s">
        <v>1481</v>
      </c>
      <c r="G606" s="43">
        <v>15011700</v>
      </c>
      <c r="H606" s="43">
        <f>G606*11%</f>
        <v>1651287</v>
      </c>
      <c r="I606" s="4"/>
      <c r="M606" s="5"/>
    </row>
    <row r="607" spans="1:13" ht="17.25" customHeight="1" x14ac:dyDescent="0.25">
      <c r="A607" s="11">
        <v>45496</v>
      </c>
      <c r="B607" s="40" t="s">
        <v>1634</v>
      </c>
      <c r="C607" s="41" t="s">
        <v>1635</v>
      </c>
      <c r="D607" s="42" t="s">
        <v>46</v>
      </c>
      <c r="E607" s="42" t="s">
        <v>1633</v>
      </c>
      <c r="F607" s="42" t="s">
        <v>1636</v>
      </c>
      <c r="G607" s="43">
        <v>9835580</v>
      </c>
      <c r="H607" s="43">
        <f>G607*11%-1</f>
        <v>1081912.8</v>
      </c>
      <c r="I607" s="4"/>
      <c r="M607" s="5"/>
    </row>
    <row r="608" spans="1:13" ht="17.25" customHeight="1" x14ac:dyDescent="0.25">
      <c r="A608" s="11">
        <v>45496</v>
      </c>
      <c r="B608" s="40" t="s">
        <v>1637</v>
      </c>
      <c r="C608" s="41" t="s">
        <v>1638</v>
      </c>
      <c r="D608" s="42" t="s">
        <v>46</v>
      </c>
      <c r="E608" s="42" t="s">
        <v>1633</v>
      </c>
      <c r="F608" s="42" t="s">
        <v>1639</v>
      </c>
      <c r="G608" s="43">
        <v>3333750</v>
      </c>
      <c r="H608" s="64">
        <f>G608*11%-1</f>
        <v>366711.5</v>
      </c>
      <c r="I608" s="4"/>
      <c r="M608" s="5"/>
    </row>
    <row r="609" spans="1:13" ht="17.25" customHeight="1" x14ac:dyDescent="0.25">
      <c r="A609" s="11">
        <v>45496</v>
      </c>
      <c r="B609" s="40" t="s">
        <v>1640</v>
      </c>
      <c r="C609" s="41" t="s">
        <v>1641</v>
      </c>
      <c r="D609" s="42" t="s">
        <v>46</v>
      </c>
      <c r="E609" s="42" t="s">
        <v>1642</v>
      </c>
      <c r="F609" s="42" t="s">
        <v>1643</v>
      </c>
      <c r="G609" s="43">
        <v>6541333</v>
      </c>
      <c r="H609" s="64">
        <f>G609*11%-1</f>
        <v>719545.63</v>
      </c>
      <c r="I609" s="4"/>
      <c r="M609" s="5"/>
    </row>
    <row r="610" spans="1:13" ht="17.25" customHeight="1" x14ac:dyDescent="0.25">
      <c r="A610" s="11">
        <v>45496</v>
      </c>
      <c r="B610" s="40" t="s">
        <v>1644</v>
      </c>
      <c r="C610" s="41" t="s">
        <v>1645</v>
      </c>
      <c r="D610" s="42" t="s">
        <v>46</v>
      </c>
      <c r="E610" s="42" t="s">
        <v>1642</v>
      </c>
      <c r="F610" s="42" t="s">
        <v>933</v>
      </c>
      <c r="G610" s="43">
        <v>4680690</v>
      </c>
      <c r="H610" s="64">
        <f>G610*11%-1</f>
        <v>514874.9</v>
      </c>
      <c r="I610" s="4"/>
      <c r="M610" s="5"/>
    </row>
    <row r="611" spans="1:13" ht="17.25" customHeight="1" x14ac:dyDescent="0.25">
      <c r="A611" s="11">
        <v>45496</v>
      </c>
      <c r="B611" s="40" t="s">
        <v>1646</v>
      </c>
      <c r="C611" s="41" t="s">
        <v>1647</v>
      </c>
      <c r="D611" s="42" t="s">
        <v>46</v>
      </c>
      <c r="E611" s="42" t="s">
        <v>1642</v>
      </c>
      <c r="F611" s="42" t="s">
        <v>1363</v>
      </c>
      <c r="G611" s="43">
        <v>1034900</v>
      </c>
      <c r="H611" s="43">
        <f>G611*11%</f>
        <v>113839</v>
      </c>
      <c r="I611" s="4"/>
      <c r="M611" s="5"/>
    </row>
    <row r="612" spans="1:13" ht="17.25" customHeight="1" x14ac:dyDescent="0.25">
      <c r="A612" s="11">
        <v>45496</v>
      </c>
      <c r="B612" s="40" t="s">
        <v>1648</v>
      </c>
      <c r="C612" s="41" t="s">
        <v>1649</v>
      </c>
      <c r="D612" s="42" t="s">
        <v>46</v>
      </c>
      <c r="E612" s="42" t="s">
        <v>1650</v>
      </c>
      <c r="F612" s="42" t="s">
        <v>1651</v>
      </c>
      <c r="G612" s="43">
        <v>5111775</v>
      </c>
      <c r="H612" s="43">
        <f>G612*11%</f>
        <v>562295.25</v>
      </c>
      <c r="I612" s="4"/>
      <c r="M612" s="5"/>
    </row>
    <row r="613" spans="1:13" ht="17.25" customHeight="1" x14ac:dyDescent="0.25">
      <c r="A613" s="11">
        <v>45496</v>
      </c>
      <c r="B613" s="40" t="s">
        <v>1652</v>
      </c>
      <c r="C613" s="41" t="s">
        <v>1653</v>
      </c>
      <c r="D613" s="42" t="s">
        <v>46</v>
      </c>
      <c r="E613" s="42" t="s">
        <v>1650</v>
      </c>
      <c r="F613" s="42" t="s">
        <v>1654</v>
      </c>
      <c r="G613" s="43">
        <v>3742400</v>
      </c>
      <c r="H613" s="43">
        <f>G613*11%</f>
        <v>411664</v>
      </c>
      <c r="I613" s="4"/>
      <c r="M613" s="5"/>
    </row>
    <row r="614" spans="1:13" ht="17.25" customHeight="1" x14ac:dyDescent="0.25">
      <c r="A614" s="11">
        <v>45496</v>
      </c>
      <c r="B614" s="40" t="s">
        <v>1655</v>
      </c>
      <c r="C614" s="41" t="s">
        <v>1656</v>
      </c>
      <c r="D614" s="42" t="s">
        <v>46</v>
      </c>
      <c r="E614" s="42" t="s">
        <v>1650</v>
      </c>
      <c r="F614" s="42" t="s">
        <v>1073</v>
      </c>
      <c r="G614" s="43">
        <v>379040</v>
      </c>
      <c r="H614" s="43">
        <f>G614*11%</f>
        <v>41694.400000000001</v>
      </c>
      <c r="I614" s="4"/>
      <c r="M614" s="5"/>
    </row>
    <row r="615" spans="1:13" ht="17.25" customHeight="1" x14ac:dyDescent="0.25">
      <c r="A615" s="11">
        <v>45496</v>
      </c>
      <c r="B615" s="40" t="s">
        <v>1657</v>
      </c>
      <c r="C615" s="41" t="s">
        <v>1658</v>
      </c>
      <c r="D615" s="42" t="s">
        <v>20</v>
      </c>
      <c r="E615" s="42" t="s">
        <v>25</v>
      </c>
      <c r="F615" s="42" t="s">
        <v>561</v>
      </c>
      <c r="G615" s="43">
        <v>3992250</v>
      </c>
      <c r="H615" s="43">
        <f>G615*11%-1</f>
        <v>439146.5</v>
      </c>
      <c r="I615" s="4"/>
      <c r="M615" s="5"/>
    </row>
    <row r="616" spans="1:13" ht="17.25" customHeight="1" x14ac:dyDescent="0.25">
      <c r="A616" s="11">
        <v>45496</v>
      </c>
      <c r="B616" s="40" t="s">
        <v>1659</v>
      </c>
      <c r="C616" s="41" t="s">
        <v>1660</v>
      </c>
      <c r="D616" s="42" t="s">
        <v>20</v>
      </c>
      <c r="E616" s="42" t="s">
        <v>25</v>
      </c>
      <c r="F616" s="42" t="s">
        <v>656</v>
      </c>
      <c r="G616" s="43">
        <v>3023910</v>
      </c>
      <c r="H616" s="43">
        <f>G616*11%</f>
        <v>332630.09999999998</v>
      </c>
      <c r="I616" s="4"/>
      <c r="M616" s="5"/>
    </row>
    <row r="617" spans="1:13" ht="17.25" customHeight="1" x14ac:dyDescent="0.25">
      <c r="A617" s="11">
        <v>45496</v>
      </c>
      <c r="B617" s="40" t="s">
        <v>1661</v>
      </c>
      <c r="C617" s="41" t="s">
        <v>1662</v>
      </c>
      <c r="D617" s="42" t="s">
        <v>20</v>
      </c>
      <c r="E617" s="42" t="s">
        <v>25</v>
      </c>
      <c r="F617" s="42" t="s">
        <v>943</v>
      </c>
      <c r="G617" s="43">
        <v>2954750</v>
      </c>
      <c r="H617" s="43">
        <f>G617*11%-1</f>
        <v>325021.5</v>
      </c>
      <c r="I617" s="4"/>
      <c r="M617" s="5"/>
    </row>
    <row r="618" spans="1:13" ht="17.25" customHeight="1" x14ac:dyDescent="0.25">
      <c r="A618" s="11">
        <v>45496</v>
      </c>
      <c r="B618" s="40" t="s">
        <v>1663</v>
      </c>
      <c r="C618" s="41" t="s">
        <v>1664</v>
      </c>
      <c r="D618" s="42" t="s">
        <v>20</v>
      </c>
      <c r="E618" s="42" t="s">
        <v>25</v>
      </c>
      <c r="F618" s="42" t="s">
        <v>1114</v>
      </c>
      <c r="G618" s="43">
        <v>2954750</v>
      </c>
      <c r="H618" s="43">
        <f>G618*11%-1</f>
        <v>325021.5</v>
      </c>
      <c r="I618" s="4"/>
      <c r="M618" s="5"/>
    </row>
    <row r="619" spans="1:13" ht="17.25" customHeight="1" x14ac:dyDescent="0.25">
      <c r="A619" s="11">
        <v>45496</v>
      </c>
      <c r="B619" s="40" t="s">
        <v>1665</v>
      </c>
      <c r="C619" s="41" t="s">
        <v>1666</v>
      </c>
      <c r="D619" s="42" t="s">
        <v>20</v>
      </c>
      <c r="E619" s="42" t="s">
        <v>25</v>
      </c>
      <c r="F619" s="42" t="s">
        <v>1393</v>
      </c>
      <c r="G619" s="43">
        <v>2954750</v>
      </c>
      <c r="H619" s="43">
        <f>G619*11%-1</f>
        <v>325021.5</v>
      </c>
      <c r="I619" s="4"/>
      <c r="M619" s="5"/>
    </row>
    <row r="620" spans="1:13" ht="17.25" customHeight="1" x14ac:dyDescent="0.25">
      <c r="A620" s="11">
        <v>45496</v>
      </c>
      <c r="B620" s="40" t="s">
        <v>1667</v>
      </c>
      <c r="C620" s="41" t="s">
        <v>1668</v>
      </c>
      <c r="D620" s="42" t="s">
        <v>412</v>
      </c>
      <c r="E620" s="42" t="s">
        <v>1467</v>
      </c>
      <c r="F620" s="42" t="s">
        <v>1669</v>
      </c>
      <c r="G620" s="43">
        <v>620000</v>
      </c>
      <c r="H620" s="43">
        <f>G620*11%</f>
        <v>68200</v>
      </c>
      <c r="I620" s="4"/>
      <c r="M620" s="5"/>
    </row>
    <row r="621" spans="1:13" ht="17.25" customHeight="1" x14ac:dyDescent="0.25">
      <c r="A621" s="11">
        <v>45496</v>
      </c>
      <c r="B621" s="40" t="s">
        <v>1670</v>
      </c>
      <c r="C621" s="41" t="s">
        <v>1671</v>
      </c>
      <c r="D621" s="42" t="s">
        <v>412</v>
      </c>
      <c r="E621" s="42" t="s">
        <v>1467</v>
      </c>
      <c r="F621" s="42" t="s">
        <v>1672</v>
      </c>
      <c r="G621" s="43">
        <v>744000</v>
      </c>
      <c r="H621" s="43">
        <f>G621*11%</f>
        <v>81840</v>
      </c>
      <c r="I621" s="4"/>
      <c r="M621" s="5"/>
    </row>
    <row r="622" spans="1:13" ht="17.25" customHeight="1" x14ac:dyDescent="0.25">
      <c r="A622" s="11">
        <v>45496</v>
      </c>
      <c r="B622" s="40" t="s">
        <v>1673</v>
      </c>
      <c r="C622" s="41" t="s">
        <v>1674</v>
      </c>
      <c r="D622" s="42" t="s">
        <v>412</v>
      </c>
      <c r="E622" s="42" t="s">
        <v>1467</v>
      </c>
      <c r="F622" s="42" t="s">
        <v>43</v>
      </c>
      <c r="G622" s="43">
        <v>13950000</v>
      </c>
      <c r="H622" s="43">
        <f>G622*11%</f>
        <v>1534500</v>
      </c>
      <c r="I622" s="4"/>
      <c r="M622" s="5"/>
    </row>
    <row r="623" spans="1:13" ht="17.25" customHeight="1" x14ac:dyDescent="0.25">
      <c r="A623" s="11">
        <v>45496</v>
      </c>
      <c r="B623" s="40" t="s">
        <v>1675</v>
      </c>
      <c r="C623" s="41" t="s">
        <v>1676</v>
      </c>
      <c r="D623" s="42" t="s">
        <v>15</v>
      </c>
      <c r="E623" s="42" t="s">
        <v>612</v>
      </c>
      <c r="F623" s="42" t="s">
        <v>1114</v>
      </c>
      <c r="G623" s="43">
        <v>364410</v>
      </c>
      <c r="H623" s="43">
        <f>G623*11%</f>
        <v>40085.1</v>
      </c>
      <c r="I623" s="4"/>
      <c r="M623" s="5"/>
    </row>
    <row r="624" spans="1:13" ht="17.25" customHeight="1" x14ac:dyDescent="0.25">
      <c r="A624" s="11">
        <v>45496</v>
      </c>
      <c r="B624" s="40" t="s">
        <v>1677</v>
      </c>
      <c r="C624" s="41" t="s">
        <v>1678</v>
      </c>
      <c r="D624" s="42" t="s">
        <v>15</v>
      </c>
      <c r="E624" s="42" t="s">
        <v>1278</v>
      </c>
      <c r="F624" s="42" t="s">
        <v>43</v>
      </c>
      <c r="G624" s="43">
        <v>14096000</v>
      </c>
      <c r="H624" s="43">
        <f>G624*11%</f>
        <v>1550560</v>
      </c>
      <c r="I624" s="4"/>
      <c r="M624" s="5"/>
    </row>
    <row r="625" spans="1:13" ht="17.25" customHeight="1" x14ac:dyDescent="0.2">
      <c r="A625" s="1"/>
      <c r="C625" s="3"/>
      <c r="G625" s="3"/>
      <c r="H625" s="3"/>
      <c r="I625" s="4"/>
      <c r="M625" s="5"/>
    </row>
    <row r="626" spans="1:13" ht="17.25" customHeight="1" x14ac:dyDescent="0.25">
      <c r="A626" s="11">
        <v>45500</v>
      </c>
      <c r="B626" s="40" t="s">
        <v>1679</v>
      </c>
      <c r="C626" s="41" t="s">
        <v>1680</v>
      </c>
      <c r="D626" s="42" t="s">
        <v>1681</v>
      </c>
      <c r="E626" s="42" t="s">
        <v>1682</v>
      </c>
      <c r="F626" s="42" t="s">
        <v>72</v>
      </c>
      <c r="G626" s="43">
        <v>7123000</v>
      </c>
      <c r="H626" s="43">
        <f>G626*11%</f>
        <v>783530</v>
      </c>
      <c r="I626" s="4"/>
      <c r="M626" s="5"/>
    </row>
    <row r="627" spans="1:13" ht="17.25" customHeight="1" x14ac:dyDescent="0.25">
      <c r="A627" s="11">
        <v>45500</v>
      </c>
      <c r="B627" s="40" t="s">
        <v>1683</v>
      </c>
      <c r="C627" s="41" t="s">
        <v>1684</v>
      </c>
      <c r="D627" s="42" t="s">
        <v>15</v>
      </c>
      <c r="E627" s="42" t="s">
        <v>612</v>
      </c>
      <c r="F627" s="42" t="s">
        <v>43</v>
      </c>
      <c r="G627" s="43">
        <v>1552000</v>
      </c>
      <c r="H627" s="43">
        <f>G627*11%</f>
        <v>170720</v>
      </c>
      <c r="I627" s="4"/>
      <c r="M627" s="5"/>
    </row>
    <row r="628" spans="1:13" ht="17.25" customHeight="1" x14ac:dyDescent="0.25">
      <c r="A628" s="11">
        <v>45500</v>
      </c>
      <c r="B628" s="40" t="s">
        <v>1685</v>
      </c>
      <c r="C628" s="41" t="s">
        <v>1686</v>
      </c>
      <c r="D628" s="42" t="s">
        <v>865</v>
      </c>
      <c r="E628" s="42" t="s">
        <v>1687</v>
      </c>
      <c r="F628" s="42" t="s">
        <v>1688</v>
      </c>
      <c r="G628" s="43">
        <v>6657700</v>
      </c>
      <c r="H628" s="43">
        <f>G628*11%</f>
        <v>732347</v>
      </c>
      <c r="I628" s="4"/>
      <c r="M628" s="5"/>
    </row>
    <row r="629" spans="1:13" ht="17.25" customHeight="1" x14ac:dyDescent="0.25">
      <c r="A629" s="11">
        <v>45500</v>
      </c>
      <c r="B629" s="40" t="s">
        <v>1689</v>
      </c>
      <c r="C629" s="41" t="s">
        <v>1690</v>
      </c>
      <c r="D629" s="42" t="s">
        <v>1471</v>
      </c>
      <c r="E629" s="42" t="s">
        <v>1691</v>
      </c>
      <c r="F629" s="42" t="s">
        <v>1692</v>
      </c>
      <c r="G629" s="43">
        <v>329985</v>
      </c>
      <c r="H629" s="43">
        <f>G629*11%</f>
        <v>36298.35</v>
      </c>
      <c r="I629" s="4"/>
      <c r="M629" s="5"/>
    </row>
    <row r="630" spans="1:13" ht="17.25" customHeight="1" x14ac:dyDescent="0.2">
      <c r="A630" s="1"/>
      <c r="C630" s="3"/>
      <c r="G630" s="3"/>
      <c r="H630" s="3"/>
      <c r="I630" s="4"/>
      <c r="M630" s="5"/>
    </row>
    <row r="631" spans="1:13" ht="17.25" customHeight="1" x14ac:dyDescent="0.25">
      <c r="A631" s="11">
        <v>45500</v>
      </c>
      <c r="B631" s="40" t="s">
        <v>1693</v>
      </c>
      <c r="C631" s="41" t="s">
        <v>1694</v>
      </c>
      <c r="D631" s="42" t="s">
        <v>865</v>
      </c>
      <c r="E631" s="42" t="s">
        <v>1695</v>
      </c>
      <c r="F631" s="42" t="s">
        <v>72</v>
      </c>
      <c r="G631" s="43">
        <v>894000</v>
      </c>
      <c r="H631" s="43">
        <f>G631*11%</f>
        <v>98340</v>
      </c>
      <c r="I631" s="4"/>
      <c r="M631" s="5"/>
    </row>
    <row r="632" spans="1:13" ht="17.25" customHeight="1" x14ac:dyDescent="0.25">
      <c r="A632" s="11">
        <v>45504</v>
      </c>
      <c r="B632" s="40" t="s">
        <v>1696</v>
      </c>
      <c r="C632" s="41" t="s">
        <v>1697</v>
      </c>
      <c r="D632" s="42" t="s">
        <v>865</v>
      </c>
      <c r="E632" s="42" t="s">
        <v>1698</v>
      </c>
      <c r="F632" s="42" t="s">
        <v>72</v>
      </c>
      <c r="G632" s="43">
        <v>12940000</v>
      </c>
      <c r="H632" s="43">
        <f>G632*11%</f>
        <v>1423400</v>
      </c>
      <c r="I632" s="4"/>
      <c r="M632" s="5"/>
    </row>
    <row r="633" spans="1:13" ht="17.25" customHeight="1" x14ac:dyDescent="0.25">
      <c r="A633" s="11">
        <v>45504</v>
      </c>
      <c r="B633" s="40" t="s">
        <v>1699</v>
      </c>
      <c r="C633" s="41" t="s">
        <v>1700</v>
      </c>
      <c r="D633" s="42" t="s">
        <v>340</v>
      </c>
      <c r="E633" s="42" t="s">
        <v>1701</v>
      </c>
      <c r="F633" s="42" t="s">
        <v>1702</v>
      </c>
      <c r="G633" s="43">
        <v>5003560</v>
      </c>
      <c r="H633" s="43">
        <f>G633*11%-1</f>
        <v>550390.6</v>
      </c>
      <c r="I633" s="4"/>
      <c r="M633" s="5"/>
    </row>
    <row r="634" spans="1:13" ht="17.25" customHeight="1" x14ac:dyDescent="0.25">
      <c r="A634" s="11">
        <v>45504</v>
      </c>
      <c r="B634" s="40" t="s">
        <v>1703</v>
      </c>
      <c r="C634" s="41" t="s">
        <v>1704</v>
      </c>
      <c r="D634" s="42" t="s">
        <v>340</v>
      </c>
      <c r="E634" s="42" t="s">
        <v>350</v>
      </c>
      <c r="F634" s="42"/>
      <c r="G634" s="43"/>
      <c r="H634" s="43">
        <f t="shared" ref="H634:H639" si="18">G634*11%</f>
        <v>0</v>
      </c>
      <c r="I634" s="4"/>
      <c r="M634" s="5"/>
    </row>
    <row r="635" spans="1:13" ht="17.25" customHeight="1" x14ac:dyDescent="0.25">
      <c r="A635" s="11">
        <v>45504</v>
      </c>
      <c r="B635" s="40" t="s">
        <v>1705</v>
      </c>
      <c r="C635" s="41" t="s">
        <v>1706</v>
      </c>
      <c r="D635" s="42" t="s">
        <v>340</v>
      </c>
      <c r="E635" s="42" t="s">
        <v>1119</v>
      </c>
      <c r="F635" s="42"/>
      <c r="G635" s="43"/>
      <c r="H635" s="43">
        <f t="shared" si="18"/>
        <v>0</v>
      </c>
      <c r="I635" s="4"/>
      <c r="M635" s="5"/>
    </row>
    <row r="636" spans="1:13" ht="17.25" customHeight="1" x14ac:dyDescent="0.25">
      <c r="A636" s="11">
        <v>45504</v>
      </c>
      <c r="B636" s="40" t="s">
        <v>1707</v>
      </c>
      <c r="C636" s="41" t="s">
        <v>1708</v>
      </c>
      <c r="D636" s="42" t="s">
        <v>340</v>
      </c>
      <c r="E636" s="42" t="s">
        <v>1709</v>
      </c>
      <c r="F636" s="42"/>
      <c r="G636" s="43"/>
      <c r="H636" s="43">
        <f t="shared" si="18"/>
        <v>0</v>
      </c>
      <c r="I636" s="4"/>
      <c r="M636" s="5"/>
    </row>
    <row r="637" spans="1:13" ht="17.25" customHeight="1" x14ac:dyDescent="0.25">
      <c r="A637" s="11">
        <v>45504</v>
      </c>
      <c r="B637" s="40" t="s">
        <v>1710</v>
      </c>
      <c r="C637" s="41" t="s">
        <v>1711</v>
      </c>
      <c r="D637" s="42" t="s">
        <v>340</v>
      </c>
      <c r="E637" s="42" t="s">
        <v>199</v>
      </c>
      <c r="F637" s="42"/>
      <c r="G637" s="43"/>
      <c r="H637" s="43">
        <f t="shared" si="18"/>
        <v>0</v>
      </c>
      <c r="I637" s="4"/>
      <c r="M637" s="5"/>
    </row>
    <row r="638" spans="1:13" ht="17.25" customHeight="1" x14ac:dyDescent="0.25">
      <c r="A638" s="11">
        <v>45504</v>
      </c>
      <c r="B638" s="40" t="s">
        <v>1712</v>
      </c>
      <c r="C638" s="41" t="s">
        <v>1713</v>
      </c>
      <c r="D638" s="42" t="s">
        <v>340</v>
      </c>
      <c r="E638" s="42" t="s">
        <v>1714</v>
      </c>
      <c r="F638" s="42"/>
      <c r="G638" s="43"/>
      <c r="H638" s="43">
        <f t="shared" si="18"/>
        <v>0</v>
      </c>
      <c r="I638" s="4"/>
      <c r="M638" s="5"/>
    </row>
    <row r="639" spans="1:13" ht="17.25" customHeight="1" x14ac:dyDescent="0.25">
      <c r="A639" s="11">
        <v>45504</v>
      </c>
      <c r="B639" s="40" t="s">
        <v>1715</v>
      </c>
      <c r="C639" s="41" t="s">
        <v>1716</v>
      </c>
      <c r="D639" s="42"/>
      <c r="E639" s="42"/>
      <c r="F639" s="42"/>
      <c r="G639" s="43"/>
      <c r="H639" s="43">
        <f t="shared" si="18"/>
        <v>0</v>
      </c>
      <c r="I639" s="4"/>
      <c r="M639" s="5"/>
    </row>
    <row r="640" spans="1:13" ht="17.25" customHeight="1" x14ac:dyDescent="0.25">
      <c r="A640" s="11"/>
      <c r="B640" s="40"/>
      <c r="C640" s="41"/>
      <c r="D640" s="42"/>
      <c r="E640" s="42"/>
      <c r="F640" s="42"/>
      <c r="G640" s="43"/>
      <c r="H640" s="43"/>
      <c r="I640" s="4"/>
      <c r="M640" s="5"/>
    </row>
    <row r="641" spans="1:13" ht="17.25" customHeight="1" x14ac:dyDescent="0.25">
      <c r="A641" s="11">
        <v>45506</v>
      </c>
      <c r="B641" s="40" t="s">
        <v>1717</v>
      </c>
      <c r="C641" s="41" t="s">
        <v>1718</v>
      </c>
      <c r="D641" s="42" t="s">
        <v>412</v>
      </c>
      <c r="E641" s="42" t="s">
        <v>1719</v>
      </c>
      <c r="F641" s="42" t="s">
        <v>1720</v>
      </c>
      <c r="G641" s="43">
        <v>6000000</v>
      </c>
      <c r="H641" s="43">
        <f>G641*11%</f>
        <v>660000</v>
      </c>
      <c r="I641" s="4"/>
      <c r="M641" s="5"/>
    </row>
    <row r="642" spans="1:13" ht="17.25" customHeight="1" x14ac:dyDescent="0.25">
      <c r="A642" s="11">
        <v>45506</v>
      </c>
      <c r="B642" s="40" t="s">
        <v>1721</v>
      </c>
      <c r="C642" s="41" t="s">
        <v>1722</v>
      </c>
      <c r="D642" s="42" t="s">
        <v>412</v>
      </c>
      <c r="E642" s="42" t="s">
        <v>1719</v>
      </c>
      <c r="F642" s="42" t="s">
        <v>1553</v>
      </c>
      <c r="G642" s="43">
        <v>31930523</v>
      </c>
      <c r="H642" s="43">
        <f>G642*11%-1</f>
        <v>3512356.53</v>
      </c>
      <c r="I642" s="4"/>
      <c r="M642" s="5"/>
    </row>
    <row r="643" spans="1:13" ht="17.25" customHeight="1" x14ac:dyDescent="0.25">
      <c r="A643" s="11">
        <v>45506</v>
      </c>
      <c r="B643" s="40" t="s">
        <v>1723</v>
      </c>
      <c r="C643" s="41" t="s">
        <v>1724</v>
      </c>
      <c r="D643" s="42" t="s">
        <v>412</v>
      </c>
      <c r="E643" s="42" t="s">
        <v>1719</v>
      </c>
      <c r="F643" s="42" t="s">
        <v>333</v>
      </c>
      <c r="G643" s="43">
        <v>1333333</v>
      </c>
      <c r="H643" s="43">
        <f>G643*11%-1</f>
        <v>146665.63</v>
      </c>
      <c r="I643" s="4"/>
      <c r="M643" s="5"/>
    </row>
    <row r="644" spans="1:13" ht="17.25" customHeight="1" x14ac:dyDescent="0.25">
      <c r="A644" s="11">
        <v>45506</v>
      </c>
      <c r="B644" s="40" t="s">
        <v>1725</v>
      </c>
      <c r="C644" s="41" t="s">
        <v>1726</v>
      </c>
      <c r="D644" s="42" t="s">
        <v>412</v>
      </c>
      <c r="E644" s="42" t="s">
        <v>1719</v>
      </c>
      <c r="F644" s="42" t="s">
        <v>1558</v>
      </c>
      <c r="G644" s="43">
        <v>38799000</v>
      </c>
      <c r="H644" s="43">
        <f>G644*11%</f>
        <v>4267890</v>
      </c>
      <c r="I644" s="4"/>
      <c r="M644" s="5"/>
    </row>
    <row r="645" spans="1:13" ht="17.25" customHeight="1" x14ac:dyDescent="0.25">
      <c r="A645" s="11">
        <v>45506</v>
      </c>
      <c r="B645" s="40" t="s">
        <v>1727</v>
      </c>
      <c r="C645" s="41" t="s">
        <v>1728</v>
      </c>
      <c r="D645" s="42" t="s">
        <v>412</v>
      </c>
      <c r="E645" s="42" t="s">
        <v>1729</v>
      </c>
      <c r="F645" s="42" t="s">
        <v>1730</v>
      </c>
      <c r="G645" s="43">
        <v>10973808</v>
      </c>
      <c r="H645" s="43">
        <f>G645*11%-1</f>
        <v>1207117.8800000001</v>
      </c>
      <c r="I645" s="4"/>
      <c r="M645" s="5"/>
    </row>
    <row r="646" spans="1:13" ht="17.25" customHeight="1" x14ac:dyDescent="0.25">
      <c r="A646" s="11">
        <v>45506</v>
      </c>
      <c r="B646" s="40" t="s">
        <v>1731</v>
      </c>
      <c r="C646" s="41" t="s">
        <v>1732</v>
      </c>
      <c r="D646" s="42" t="s">
        <v>412</v>
      </c>
      <c r="E646" s="42" t="s">
        <v>1729</v>
      </c>
      <c r="F646" s="42" t="s">
        <v>1733</v>
      </c>
      <c r="G646" s="43">
        <v>22054931</v>
      </c>
      <c r="H646" s="43">
        <f>G646*11%</f>
        <v>2426042.41</v>
      </c>
      <c r="I646" s="4"/>
      <c r="M646" s="5"/>
    </row>
    <row r="647" spans="1:13" ht="17.25" customHeight="1" x14ac:dyDescent="0.25">
      <c r="A647" s="11">
        <v>45506</v>
      </c>
      <c r="B647" s="40" t="s">
        <v>1734</v>
      </c>
      <c r="C647" s="41" t="s">
        <v>1735</v>
      </c>
      <c r="D647" s="42" t="s">
        <v>412</v>
      </c>
      <c r="E647" s="42" t="s">
        <v>1729</v>
      </c>
      <c r="F647" s="42" t="s">
        <v>1736</v>
      </c>
      <c r="G647" s="43">
        <v>19695208</v>
      </c>
      <c r="H647" s="43">
        <f>G647*11%-1</f>
        <v>2166471.88</v>
      </c>
      <c r="I647" s="4"/>
      <c r="M647" s="5"/>
    </row>
    <row r="648" spans="1:13" ht="17.25" customHeight="1" x14ac:dyDescent="0.25">
      <c r="A648" s="11">
        <v>45506</v>
      </c>
      <c r="B648" s="40" t="s">
        <v>1737</v>
      </c>
      <c r="C648" s="41" t="s">
        <v>1738</v>
      </c>
      <c r="D648" s="42" t="s">
        <v>412</v>
      </c>
      <c r="E648" s="42" t="s">
        <v>1729</v>
      </c>
      <c r="F648" s="42" t="s">
        <v>1739</v>
      </c>
      <c r="G648" s="43">
        <v>27577517</v>
      </c>
      <c r="H648" s="43">
        <f>G648*11%-1</f>
        <v>3033525.87</v>
      </c>
      <c r="I648" s="4"/>
      <c r="M648" s="5"/>
    </row>
    <row r="649" spans="1:13" ht="17.25" customHeight="1" x14ac:dyDescent="0.25">
      <c r="A649" s="11">
        <v>45506</v>
      </c>
      <c r="B649" s="40" t="s">
        <v>1740</v>
      </c>
      <c r="C649" s="41" t="s">
        <v>1741</v>
      </c>
      <c r="D649" s="42" t="s">
        <v>412</v>
      </c>
      <c r="E649" s="42" t="s">
        <v>1729</v>
      </c>
      <c r="F649" s="42" t="s">
        <v>1742</v>
      </c>
      <c r="G649" s="43">
        <v>70788490</v>
      </c>
      <c r="H649" s="43">
        <f>G649*11%-1</f>
        <v>7786732.9000000004</v>
      </c>
      <c r="I649" s="4"/>
      <c r="M649" s="5"/>
    </row>
    <row r="650" spans="1:13" ht="17.25" customHeight="1" x14ac:dyDescent="0.25">
      <c r="A650" s="11">
        <v>45506</v>
      </c>
      <c r="B650" s="40" t="s">
        <v>1743</v>
      </c>
      <c r="C650" s="41" t="s">
        <v>1744</v>
      </c>
      <c r="D650" s="42" t="s">
        <v>412</v>
      </c>
      <c r="E650" s="42" t="s">
        <v>80</v>
      </c>
      <c r="F650" s="42" t="s">
        <v>618</v>
      </c>
      <c r="G650" s="43">
        <v>400000</v>
      </c>
      <c r="H650" s="43">
        <f>G650*11%</f>
        <v>44000</v>
      </c>
      <c r="I650" s="4"/>
      <c r="M650" s="5"/>
    </row>
    <row r="651" spans="1:13" ht="17.25" customHeight="1" x14ac:dyDescent="0.25">
      <c r="A651" s="11">
        <v>45506</v>
      </c>
      <c r="B651" s="40" t="s">
        <v>1745</v>
      </c>
      <c r="C651" s="41" t="s">
        <v>1746</v>
      </c>
      <c r="D651" s="42" t="s">
        <v>412</v>
      </c>
      <c r="E651" s="42" t="s">
        <v>80</v>
      </c>
      <c r="F651" s="42" t="s">
        <v>1747</v>
      </c>
      <c r="G651" s="43">
        <v>12084750</v>
      </c>
      <c r="H651" s="43">
        <f>G651*11%-1</f>
        <v>1329321.5</v>
      </c>
      <c r="I651" s="4"/>
      <c r="M651" s="5"/>
    </row>
    <row r="652" spans="1:13" ht="17.25" customHeight="1" x14ac:dyDescent="0.25">
      <c r="A652" s="11">
        <v>45506</v>
      </c>
      <c r="B652" s="40" t="s">
        <v>1748</v>
      </c>
      <c r="C652" s="41" t="s">
        <v>1749</v>
      </c>
      <c r="D652" s="42" t="s">
        <v>1300</v>
      </c>
      <c r="E652" s="42" t="s">
        <v>1750</v>
      </c>
      <c r="F652" s="42" t="s">
        <v>1733</v>
      </c>
      <c r="G652" s="43">
        <v>1500000</v>
      </c>
      <c r="H652" s="43">
        <f t="shared" ref="H652:H657" si="19">G652*11%</f>
        <v>165000</v>
      </c>
      <c r="I652" s="4"/>
      <c r="M652" s="5"/>
    </row>
    <row r="653" spans="1:13" ht="17.25" customHeight="1" x14ac:dyDescent="0.25">
      <c r="A653" s="11">
        <v>45506</v>
      </c>
      <c r="B653" s="40" t="s">
        <v>1751</v>
      </c>
      <c r="C653" s="41" t="s">
        <v>1752</v>
      </c>
      <c r="D653" s="42" t="s">
        <v>1300</v>
      </c>
      <c r="E653" s="42" t="s">
        <v>1750</v>
      </c>
      <c r="F653" s="42" t="s">
        <v>1736</v>
      </c>
      <c r="G653" s="43">
        <v>1500000</v>
      </c>
      <c r="H653" s="43">
        <f t="shared" si="19"/>
        <v>165000</v>
      </c>
      <c r="I653" s="4"/>
      <c r="M653" s="5"/>
    </row>
    <row r="654" spans="1:13" ht="17.25" customHeight="1" x14ac:dyDescent="0.25">
      <c r="A654" s="11">
        <v>45506</v>
      </c>
      <c r="B654" s="40" t="s">
        <v>1753</v>
      </c>
      <c r="C654" s="41" t="s">
        <v>1754</v>
      </c>
      <c r="D654" s="42" t="s">
        <v>28</v>
      </c>
      <c r="E654" s="42" t="s">
        <v>29</v>
      </c>
      <c r="F654" s="42" t="s">
        <v>828</v>
      </c>
      <c r="G654" s="43">
        <v>106000</v>
      </c>
      <c r="H654" s="43">
        <f t="shared" si="19"/>
        <v>11660</v>
      </c>
      <c r="I654" s="4"/>
      <c r="M654" s="5"/>
    </row>
    <row r="655" spans="1:13" ht="17.25" customHeight="1" x14ac:dyDescent="0.25">
      <c r="A655" s="11">
        <v>45506</v>
      </c>
      <c r="B655" s="40" t="s">
        <v>1755</v>
      </c>
      <c r="C655" s="41" t="s">
        <v>1756</v>
      </c>
      <c r="D655" s="42" t="s">
        <v>28</v>
      </c>
      <c r="E655" s="42" t="s">
        <v>29</v>
      </c>
      <c r="F655" s="42" t="s">
        <v>1495</v>
      </c>
      <c r="G655" s="43">
        <v>106000</v>
      </c>
      <c r="H655" s="43">
        <f t="shared" si="19"/>
        <v>11660</v>
      </c>
      <c r="I655" s="4"/>
      <c r="M655" s="5"/>
    </row>
    <row r="656" spans="1:13" ht="17.25" customHeight="1" x14ac:dyDescent="0.25">
      <c r="A656" s="11">
        <v>45506</v>
      </c>
      <c r="B656" s="40" t="s">
        <v>1757</v>
      </c>
      <c r="C656" s="41" t="s">
        <v>1758</v>
      </c>
      <c r="D656" s="42" t="s">
        <v>28</v>
      </c>
      <c r="E656" s="42" t="s">
        <v>29</v>
      </c>
      <c r="F656" s="42" t="s">
        <v>1550</v>
      </c>
      <c r="G656" s="43">
        <v>106000</v>
      </c>
      <c r="H656" s="43">
        <f t="shared" si="19"/>
        <v>11660</v>
      </c>
      <c r="I656" s="4"/>
      <c r="M656" s="5"/>
    </row>
    <row r="657" spans="1:13" ht="17.25" customHeight="1" x14ac:dyDescent="0.25">
      <c r="A657" s="11">
        <v>45506</v>
      </c>
      <c r="B657" s="40" t="s">
        <v>1759</v>
      </c>
      <c r="C657" s="41" t="s">
        <v>1760</v>
      </c>
      <c r="D657" s="42" t="s">
        <v>15</v>
      </c>
      <c r="E657" s="42" t="s">
        <v>1761</v>
      </c>
      <c r="F657" s="42" t="s">
        <v>1114</v>
      </c>
      <c r="G657" s="43">
        <v>44806420</v>
      </c>
      <c r="H657" s="43">
        <f t="shared" si="19"/>
        <v>4928706.2</v>
      </c>
      <c r="I657" s="4"/>
      <c r="M657" s="5"/>
    </row>
    <row r="658" spans="1:13" ht="17.25" customHeight="1" x14ac:dyDescent="0.25">
      <c r="A658" s="11">
        <v>45506</v>
      </c>
      <c r="B658" s="40" t="s">
        <v>1762</v>
      </c>
      <c r="C658" s="41" t="s">
        <v>1763</v>
      </c>
      <c r="D658" s="42" t="s">
        <v>15</v>
      </c>
      <c r="E658" s="42" t="s">
        <v>383</v>
      </c>
      <c r="F658" s="42" t="s">
        <v>1393</v>
      </c>
      <c r="G658" s="43">
        <v>92207397</v>
      </c>
      <c r="H658" s="43">
        <f>G658*11%-1</f>
        <v>10142812.67</v>
      </c>
      <c r="I658" s="4"/>
      <c r="M658" s="5"/>
    </row>
    <row r="659" spans="1:13" ht="17.25" customHeight="1" x14ac:dyDescent="0.25">
      <c r="A659" s="11">
        <v>45506</v>
      </c>
      <c r="B659" s="40" t="s">
        <v>1764</v>
      </c>
      <c r="C659" s="41" t="s">
        <v>1765</v>
      </c>
      <c r="D659" s="42" t="s">
        <v>15</v>
      </c>
      <c r="E659" s="42" t="s">
        <v>1766</v>
      </c>
      <c r="F659" s="42" t="s">
        <v>1393</v>
      </c>
      <c r="G659" s="43">
        <v>39151180</v>
      </c>
      <c r="H659" s="43">
        <f>G659*11%-1</f>
        <v>4306628.8</v>
      </c>
      <c r="I659" s="4"/>
      <c r="M659" s="5"/>
    </row>
    <row r="660" spans="1:13" ht="17.25" customHeight="1" x14ac:dyDescent="0.25">
      <c r="A660" s="11">
        <v>45506</v>
      </c>
      <c r="B660" s="40" t="s">
        <v>1767</v>
      </c>
      <c r="C660" s="41" t="s">
        <v>1768</v>
      </c>
      <c r="D660" s="42" t="s">
        <v>15</v>
      </c>
      <c r="E660" s="42" t="s">
        <v>578</v>
      </c>
      <c r="F660" s="42" t="s">
        <v>1393</v>
      </c>
      <c r="G660" s="43">
        <v>2851250</v>
      </c>
      <c r="H660" s="43">
        <f>G660*11%-1</f>
        <v>313636.5</v>
      </c>
      <c r="I660" s="4"/>
      <c r="M660" s="5"/>
    </row>
    <row r="661" spans="1:13" ht="17.25" customHeight="1" x14ac:dyDescent="0.25">
      <c r="A661" s="11">
        <v>45506</v>
      </c>
      <c r="B661" s="40" t="s">
        <v>1769</v>
      </c>
      <c r="C661" s="41" t="s">
        <v>1770</v>
      </c>
      <c r="D661" s="42" t="s">
        <v>15</v>
      </c>
      <c r="E661" s="42" t="s">
        <v>1771</v>
      </c>
      <c r="F661" s="42" t="s">
        <v>147</v>
      </c>
      <c r="G661" s="43">
        <v>12269650</v>
      </c>
      <c r="H661" s="43">
        <f>G661*11%-1</f>
        <v>1349660.5</v>
      </c>
      <c r="I661" s="4"/>
      <c r="M661" s="5"/>
    </row>
    <row r="662" spans="1:13" ht="17.25" customHeight="1" x14ac:dyDescent="0.25">
      <c r="A662" s="11">
        <v>45506</v>
      </c>
      <c r="B662" s="40" t="s">
        <v>1772</v>
      </c>
      <c r="C662" s="41" t="s">
        <v>1773</v>
      </c>
      <c r="D662" s="42" t="s">
        <v>1300</v>
      </c>
      <c r="E662" s="42" t="s">
        <v>1750</v>
      </c>
      <c r="F662" s="42" t="s">
        <v>1739</v>
      </c>
      <c r="G662" s="43">
        <v>1500000</v>
      </c>
      <c r="H662" s="43">
        <f>G662*11%</f>
        <v>165000</v>
      </c>
      <c r="I662" s="4"/>
      <c r="M662" s="5"/>
    </row>
    <row r="663" spans="1:13" ht="17.25" customHeight="1" x14ac:dyDescent="0.25">
      <c r="A663" s="11">
        <v>45506</v>
      </c>
      <c r="B663" s="40" t="s">
        <v>1774</v>
      </c>
      <c r="C663" s="41" t="s">
        <v>1775</v>
      </c>
      <c r="D663" s="42" t="s">
        <v>15</v>
      </c>
      <c r="E663" s="42" t="s">
        <v>602</v>
      </c>
      <c r="F663" s="42" t="s">
        <v>1776</v>
      </c>
      <c r="G663" s="43">
        <v>3254719</v>
      </c>
      <c r="H663" s="43">
        <f>G663*11%</f>
        <v>358019.09</v>
      </c>
      <c r="I663" s="4"/>
      <c r="M663" s="5"/>
    </row>
    <row r="664" spans="1:13" ht="17.25" customHeight="1" x14ac:dyDescent="0.25">
      <c r="A664" s="11">
        <v>45512</v>
      </c>
      <c r="B664" s="40" t="s">
        <v>1777</v>
      </c>
      <c r="C664" s="41" t="s">
        <v>1778</v>
      </c>
      <c r="D664" s="42" t="s">
        <v>33</v>
      </c>
      <c r="E664" s="42" t="s">
        <v>1779</v>
      </c>
      <c r="F664" s="42" t="s">
        <v>72</v>
      </c>
      <c r="G664" s="43">
        <v>6000000</v>
      </c>
      <c r="H664" s="43">
        <f>G664*11%</f>
        <v>660000</v>
      </c>
      <c r="I664" s="4"/>
      <c r="M664" s="5"/>
    </row>
    <row r="665" spans="1:13" ht="17.25" customHeight="1" x14ac:dyDescent="0.25">
      <c r="A665" s="11">
        <v>45512</v>
      </c>
      <c r="B665" s="40" t="s">
        <v>1780</v>
      </c>
      <c r="C665" s="41" t="s">
        <v>1781</v>
      </c>
      <c r="D665" s="42" t="s">
        <v>412</v>
      </c>
      <c r="E665" s="42" t="s">
        <v>1782</v>
      </c>
      <c r="F665" s="42" t="s">
        <v>1783</v>
      </c>
      <c r="G665" s="43">
        <v>587250</v>
      </c>
      <c r="H665" s="43">
        <f>G665*11%-1</f>
        <v>64596.5</v>
      </c>
      <c r="I665" s="4"/>
      <c r="M665" s="5"/>
    </row>
    <row r="666" spans="1:13" ht="17.25" customHeight="1" x14ac:dyDescent="0.25">
      <c r="A666" s="11">
        <v>45512</v>
      </c>
      <c r="B666" s="40" t="s">
        <v>1784</v>
      </c>
      <c r="C666" s="41" t="s">
        <v>1785</v>
      </c>
      <c r="D666" s="42" t="s">
        <v>412</v>
      </c>
      <c r="E666" s="42" t="s">
        <v>1782</v>
      </c>
      <c r="F666" s="42" t="s">
        <v>1786</v>
      </c>
      <c r="G666" s="43">
        <v>489375</v>
      </c>
      <c r="H666" s="43">
        <f>G666*11%</f>
        <v>53831.25</v>
      </c>
      <c r="I666" s="4"/>
      <c r="M666" s="5"/>
    </row>
    <row r="667" spans="1:13" ht="17.25" customHeight="1" x14ac:dyDescent="0.25">
      <c r="A667" s="11">
        <v>45512</v>
      </c>
      <c r="B667" s="40" t="s">
        <v>1787</v>
      </c>
      <c r="C667" s="41" t="s">
        <v>1788</v>
      </c>
      <c r="D667" s="42" t="s">
        <v>412</v>
      </c>
      <c r="E667" s="42" t="s">
        <v>1782</v>
      </c>
      <c r="F667" s="42" t="s">
        <v>1789</v>
      </c>
      <c r="G667" s="43">
        <v>587250</v>
      </c>
      <c r="H667" s="43">
        <f>G667*11%-1</f>
        <v>64596.5</v>
      </c>
      <c r="I667" s="4"/>
      <c r="M667" s="5"/>
    </row>
    <row r="668" spans="1:13" ht="17.25" customHeight="1" x14ac:dyDescent="0.25">
      <c r="A668" s="11">
        <v>45512</v>
      </c>
      <c r="B668" s="40" t="s">
        <v>1790</v>
      </c>
      <c r="C668" s="41" t="s">
        <v>1791</v>
      </c>
      <c r="D668" s="42" t="s">
        <v>412</v>
      </c>
      <c r="E668" s="42" t="s">
        <v>1782</v>
      </c>
      <c r="F668" s="42" t="s">
        <v>1792</v>
      </c>
      <c r="G668" s="43">
        <v>587250</v>
      </c>
      <c r="H668" s="43">
        <f>G668*11%-1</f>
        <v>64596.5</v>
      </c>
      <c r="I668" s="4"/>
      <c r="M668" s="5"/>
    </row>
    <row r="669" spans="1:13" ht="17.25" customHeight="1" x14ac:dyDescent="0.25">
      <c r="A669" s="11">
        <v>45512</v>
      </c>
      <c r="B669" s="40" t="s">
        <v>1793</v>
      </c>
      <c r="C669" s="41" t="s">
        <v>1794</v>
      </c>
      <c r="D669" s="42" t="s">
        <v>412</v>
      </c>
      <c r="E669" s="42" t="s">
        <v>1782</v>
      </c>
      <c r="F669" s="42" t="s">
        <v>1795</v>
      </c>
      <c r="G669" s="43">
        <v>587250</v>
      </c>
      <c r="H669" s="43">
        <f>G669*11%-1</f>
        <v>64596.5</v>
      </c>
      <c r="I669" s="4"/>
      <c r="M669" s="5"/>
    </row>
    <row r="670" spans="1:13" ht="17.25" customHeight="1" x14ac:dyDescent="0.25">
      <c r="A670" s="11">
        <v>45512</v>
      </c>
      <c r="B670" s="40" t="s">
        <v>1796</v>
      </c>
      <c r="C670" s="41" t="s">
        <v>1797</v>
      </c>
      <c r="D670" s="42" t="s">
        <v>15</v>
      </c>
      <c r="E670" s="42" t="s">
        <v>532</v>
      </c>
      <c r="F670" s="42" t="s">
        <v>1393</v>
      </c>
      <c r="G670" s="43">
        <v>54781100</v>
      </c>
      <c r="H670" s="43">
        <f>G670*11%</f>
        <v>6025921</v>
      </c>
      <c r="I670" s="4"/>
      <c r="M670" s="5"/>
    </row>
    <row r="671" spans="1:13" ht="17.25" customHeight="1" x14ac:dyDescent="0.2">
      <c r="A671" s="1"/>
      <c r="C671" s="3"/>
      <c r="G671" s="3"/>
      <c r="H671" s="3"/>
      <c r="I671" s="4"/>
      <c r="M671" s="5"/>
    </row>
    <row r="672" spans="1:13" ht="17.25" customHeight="1" x14ac:dyDescent="0.25">
      <c r="A672" s="68">
        <v>45514</v>
      </c>
      <c r="B672" s="69" t="s">
        <v>1798</v>
      </c>
      <c r="C672" s="70" t="s">
        <v>1799</v>
      </c>
      <c r="D672" s="71" t="s">
        <v>33</v>
      </c>
      <c r="E672" s="71" t="s">
        <v>1800</v>
      </c>
      <c r="F672" s="71" t="s">
        <v>72</v>
      </c>
      <c r="G672" s="72">
        <v>5364000</v>
      </c>
      <c r="H672" s="73">
        <f t="shared" ref="H672:H683" si="20">G672*11%</f>
        <v>590040</v>
      </c>
      <c r="I672" s="4"/>
      <c r="M672" s="5"/>
    </row>
    <row r="673" spans="1:13" ht="17.25" customHeight="1" x14ac:dyDescent="0.25">
      <c r="A673" s="74">
        <v>45514</v>
      </c>
      <c r="B673" s="75" t="s">
        <v>1801</v>
      </c>
      <c r="C673" s="76" t="s">
        <v>1802</v>
      </c>
      <c r="D673" s="42" t="s">
        <v>898</v>
      </c>
      <c r="E673" s="42" t="s">
        <v>1803</v>
      </c>
      <c r="F673" s="42" t="s">
        <v>1804</v>
      </c>
      <c r="G673" s="43">
        <v>11650000</v>
      </c>
      <c r="H673" s="77">
        <f t="shared" si="20"/>
        <v>1281500</v>
      </c>
      <c r="I673" s="4"/>
      <c r="M673" s="5"/>
    </row>
    <row r="674" spans="1:13" ht="17.25" customHeight="1" x14ac:dyDescent="0.25">
      <c r="A674" s="74">
        <v>45514</v>
      </c>
      <c r="B674" s="75" t="s">
        <v>1805</v>
      </c>
      <c r="C674" s="76" t="s">
        <v>1806</v>
      </c>
      <c r="D674" s="42" t="s">
        <v>898</v>
      </c>
      <c r="E674" s="42" t="s">
        <v>1807</v>
      </c>
      <c r="F674" s="42" t="s">
        <v>1808</v>
      </c>
      <c r="G674" s="43">
        <v>10160000</v>
      </c>
      <c r="H674" s="77">
        <f t="shared" si="20"/>
        <v>1117600</v>
      </c>
      <c r="I674" s="4"/>
      <c r="M674" s="5"/>
    </row>
    <row r="675" spans="1:13" ht="17.25" customHeight="1" x14ac:dyDescent="0.25">
      <c r="A675" s="74">
        <v>45514</v>
      </c>
      <c r="B675" s="75" t="s">
        <v>1809</v>
      </c>
      <c r="C675" s="76" t="s">
        <v>1810</v>
      </c>
      <c r="D675" s="42" t="s">
        <v>898</v>
      </c>
      <c r="E675" s="42" t="s">
        <v>1811</v>
      </c>
      <c r="F675" s="42" t="s">
        <v>1812</v>
      </c>
      <c r="G675" s="43">
        <v>3947500</v>
      </c>
      <c r="H675" s="77">
        <f t="shared" si="20"/>
        <v>434225</v>
      </c>
      <c r="I675" s="4"/>
      <c r="M675" s="5"/>
    </row>
    <row r="676" spans="1:13" ht="17.25" customHeight="1" x14ac:dyDescent="0.25">
      <c r="A676" s="74">
        <v>45514</v>
      </c>
      <c r="B676" s="75" t="s">
        <v>1813</v>
      </c>
      <c r="C676" s="76" t="s">
        <v>1814</v>
      </c>
      <c r="D676" s="42" t="s">
        <v>898</v>
      </c>
      <c r="E676" s="42" t="s">
        <v>1815</v>
      </c>
      <c r="F676" s="42" t="s">
        <v>1816</v>
      </c>
      <c r="G676" s="43">
        <v>3821000</v>
      </c>
      <c r="H676" s="77">
        <f t="shared" si="20"/>
        <v>420310</v>
      </c>
      <c r="I676" s="4"/>
      <c r="M676" s="5"/>
    </row>
    <row r="677" spans="1:13" ht="17.25" customHeight="1" x14ac:dyDescent="0.25">
      <c r="A677" s="74">
        <v>45514</v>
      </c>
      <c r="B677" s="75" t="s">
        <v>1817</v>
      </c>
      <c r="C677" s="76" t="s">
        <v>1818</v>
      </c>
      <c r="D677" s="42" t="s">
        <v>898</v>
      </c>
      <c r="E677" s="42" t="s">
        <v>1819</v>
      </c>
      <c r="F677" s="42" t="s">
        <v>1820</v>
      </c>
      <c r="G677" s="43">
        <v>3767000</v>
      </c>
      <c r="H677" s="77">
        <f t="shared" si="20"/>
        <v>414370</v>
      </c>
      <c r="I677" s="4"/>
      <c r="M677" s="5"/>
    </row>
    <row r="678" spans="1:13" ht="17.25" customHeight="1" x14ac:dyDescent="0.25">
      <c r="A678" s="74">
        <v>45514</v>
      </c>
      <c r="B678" s="75" t="s">
        <v>1821</v>
      </c>
      <c r="C678" s="76" t="s">
        <v>1822</v>
      </c>
      <c r="D678" s="42" t="s">
        <v>898</v>
      </c>
      <c r="E678" s="42" t="s">
        <v>1823</v>
      </c>
      <c r="F678" s="42" t="s">
        <v>1824</v>
      </c>
      <c r="G678" s="43">
        <v>3212000</v>
      </c>
      <c r="H678" s="77">
        <f t="shared" si="20"/>
        <v>353320</v>
      </c>
      <c r="I678" s="4"/>
      <c r="M678" s="5"/>
    </row>
    <row r="679" spans="1:13" ht="17.25" customHeight="1" x14ac:dyDescent="0.25">
      <c r="A679" s="74">
        <v>45514</v>
      </c>
      <c r="B679" s="75" t="s">
        <v>1825</v>
      </c>
      <c r="C679" s="76" t="s">
        <v>1826</v>
      </c>
      <c r="D679" s="42" t="s">
        <v>898</v>
      </c>
      <c r="E679" s="42" t="s">
        <v>1827</v>
      </c>
      <c r="F679" s="42" t="s">
        <v>1828</v>
      </c>
      <c r="G679" s="43">
        <v>4337500</v>
      </c>
      <c r="H679" s="77">
        <f t="shared" si="20"/>
        <v>477125</v>
      </c>
      <c r="I679" s="4"/>
      <c r="M679" s="5"/>
    </row>
    <row r="680" spans="1:13" ht="17.25" customHeight="1" x14ac:dyDescent="0.25">
      <c r="A680" s="74">
        <v>45514</v>
      </c>
      <c r="B680" s="75" t="s">
        <v>1829</v>
      </c>
      <c r="C680" s="76" t="s">
        <v>1830</v>
      </c>
      <c r="D680" s="42" t="s">
        <v>898</v>
      </c>
      <c r="E680" s="42" t="s">
        <v>1831</v>
      </c>
      <c r="F680" s="42" t="s">
        <v>1832</v>
      </c>
      <c r="G680" s="43">
        <v>4337500</v>
      </c>
      <c r="H680" s="77">
        <f t="shared" si="20"/>
        <v>477125</v>
      </c>
      <c r="I680" s="4"/>
      <c r="M680" s="5"/>
    </row>
    <row r="681" spans="1:13" ht="17.25" customHeight="1" x14ac:dyDescent="0.25">
      <c r="A681" s="74">
        <v>45514</v>
      </c>
      <c r="B681" s="75" t="s">
        <v>1833</v>
      </c>
      <c r="C681" s="76" t="s">
        <v>1834</v>
      </c>
      <c r="D681" s="42" t="s">
        <v>898</v>
      </c>
      <c r="E681" s="42" t="s">
        <v>1835</v>
      </c>
      <c r="F681" s="42" t="s">
        <v>1702</v>
      </c>
      <c r="G681" s="43">
        <v>1500000</v>
      </c>
      <c r="H681" s="77">
        <f t="shared" si="20"/>
        <v>165000</v>
      </c>
      <c r="I681" s="4"/>
      <c r="M681" s="5"/>
    </row>
    <row r="682" spans="1:13" ht="17.25" customHeight="1" x14ac:dyDescent="0.25">
      <c r="A682" s="74">
        <v>45514</v>
      </c>
      <c r="B682" s="75" t="s">
        <v>1836</v>
      </c>
      <c r="C682" s="76" t="s">
        <v>1837</v>
      </c>
      <c r="D682" s="42" t="s">
        <v>898</v>
      </c>
      <c r="E682" s="42" t="s">
        <v>1838</v>
      </c>
      <c r="F682" s="42" t="s">
        <v>1839</v>
      </c>
      <c r="G682" s="43">
        <v>12988000</v>
      </c>
      <c r="H682" s="77">
        <f t="shared" si="20"/>
        <v>1428680</v>
      </c>
      <c r="I682" s="4"/>
      <c r="M682" s="5"/>
    </row>
    <row r="683" spans="1:13" ht="17.25" customHeight="1" x14ac:dyDescent="0.25">
      <c r="A683" s="74">
        <v>45514</v>
      </c>
      <c r="B683" s="75" t="s">
        <v>1840</v>
      </c>
      <c r="C683" s="76" t="s">
        <v>1841</v>
      </c>
      <c r="D683" s="42" t="s">
        <v>898</v>
      </c>
      <c r="E683" s="42" t="s">
        <v>1842</v>
      </c>
      <c r="F683" s="42" t="s">
        <v>1808</v>
      </c>
      <c r="G683" s="43">
        <v>3225000</v>
      </c>
      <c r="H683" s="77">
        <f t="shared" si="20"/>
        <v>354750</v>
      </c>
      <c r="I683" s="4"/>
      <c r="M683" s="5"/>
    </row>
    <row r="684" spans="1:13" ht="17.25" customHeight="1" x14ac:dyDescent="0.2">
      <c r="I684" s="4"/>
      <c r="M684" s="5"/>
    </row>
    <row r="685" spans="1:13" ht="17.25" customHeight="1" x14ac:dyDescent="0.2">
      <c r="I685" s="4"/>
      <c r="M685" s="5"/>
    </row>
    <row r="686" spans="1:13" ht="17.25" customHeight="1" x14ac:dyDescent="0.2">
      <c r="I686" s="4"/>
      <c r="M686" s="5"/>
    </row>
    <row r="687" spans="1:13" ht="17.25" customHeight="1" x14ac:dyDescent="0.2">
      <c r="I687" s="4"/>
      <c r="M687" s="5"/>
    </row>
    <row r="688" spans="1:13" ht="17.25" customHeight="1" x14ac:dyDescent="0.2">
      <c r="I688" s="4"/>
      <c r="M688" s="5"/>
    </row>
    <row r="689" spans="9:13" ht="17.25" customHeight="1" x14ac:dyDescent="0.2">
      <c r="I689" s="4"/>
      <c r="M689" s="5"/>
    </row>
    <row r="690" spans="9:13" ht="17.25" customHeight="1" x14ac:dyDescent="0.2">
      <c r="I690" s="4"/>
      <c r="M690" s="5"/>
    </row>
    <row r="691" spans="9:13" ht="17.25" customHeight="1" x14ac:dyDescent="0.2">
      <c r="I691" s="4"/>
      <c r="M691" s="5"/>
    </row>
    <row r="692" spans="9:13" ht="17.25" customHeight="1" x14ac:dyDescent="0.2">
      <c r="I692" s="4"/>
      <c r="M692" s="5"/>
    </row>
    <row r="693" spans="9:13" ht="17.25" customHeight="1" x14ac:dyDescent="0.2">
      <c r="I693" s="4"/>
      <c r="M693" s="5"/>
    </row>
    <row r="694" spans="9:13" ht="17.25" customHeight="1" x14ac:dyDescent="0.2">
      <c r="I694" s="4"/>
      <c r="M694" s="5"/>
    </row>
    <row r="695" spans="9:13" ht="17.25" customHeight="1" x14ac:dyDescent="0.2">
      <c r="I695" s="4"/>
      <c r="M695" s="5"/>
    </row>
    <row r="696" spans="9:13" ht="17.25" customHeight="1" x14ac:dyDescent="0.2">
      <c r="I696" s="4"/>
      <c r="M696" s="5"/>
    </row>
    <row r="697" spans="9:13" ht="17.25" customHeight="1" x14ac:dyDescent="0.2">
      <c r="I697" s="4"/>
      <c r="M697" s="5"/>
    </row>
    <row r="698" spans="9:13" ht="17.25" customHeight="1" x14ac:dyDescent="0.2">
      <c r="I698" s="4"/>
      <c r="M698" s="5"/>
    </row>
    <row r="699" spans="9:13" ht="17.25" customHeight="1" x14ac:dyDescent="0.2">
      <c r="I699" s="4"/>
      <c r="M699" s="5"/>
    </row>
    <row r="700" spans="9:13" ht="17.25" customHeight="1" x14ac:dyDescent="0.2">
      <c r="I700" s="4"/>
      <c r="M700" s="5"/>
    </row>
    <row r="701" spans="9:13" ht="17.25" customHeight="1" x14ac:dyDescent="0.2">
      <c r="I701" s="4"/>
      <c r="M701" s="5"/>
    </row>
    <row r="702" spans="9:13" ht="17.25" customHeight="1" x14ac:dyDescent="0.2">
      <c r="I702" s="4"/>
      <c r="M702" s="5"/>
    </row>
    <row r="703" spans="9:13" ht="17.25" customHeight="1" x14ac:dyDescent="0.2">
      <c r="I703" s="4"/>
      <c r="M703" s="5"/>
    </row>
    <row r="704" spans="9:13" ht="17.25" customHeight="1" x14ac:dyDescent="0.2">
      <c r="I704" s="4"/>
      <c r="M704" s="5"/>
    </row>
    <row r="705" spans="9:13" ht="17.25" customHeight="1" x14ac:dyDescent="0.2">
      <c r="I705" s="4"/>
      <c r="M705" s="5"/>
    </row>
    <row r="706" spans="9:13" ht="17.25" customHeight="1" x14ac:dyDescent="0.2">
      <c r="I706" s="4"/>
      <c r="M706" s="5"/>
    </row>
    <row r="707" spans="9:13" ht="17.25" customHeight="1" x14ac:dyDescent="0.2">
      <c r="I707" s="4"/>
      <c r="M707" s="5"/>
    </row>
    <row r="708" spans="9:13" ht="17.25" customHeight="1" x14ac:dyDescent="0.2">
      <c r="I708" s="4"/>
      <c r="M708" s="5"/>
    </row>
    <row r="709" spans="9:13" ht="17.25" customHeight="1" x14ac:dyDescent="0.2">
      <c r="I709" s="4"/>
      <c r="M709" s="5"/>
    </row>
    <row r="710" spans="9:13" ht="17.25" customHeight="1" x14ac:dyDescent="0.2">
      <c r="I710" s="4"/>
      <c r="M710" s="5"/>
    </row>
    <row r="711" spans="9:13" ht="17.25" customHeight="1" x14ac:dyDescent="0.2">
      <c r="M711" s="5"/>
    </row>
    <row r="712" spans="9:13" ht="17.25" customHeight="1" x14ac:dyDescent="0.2">
      <c r="M712" s="5"/>
    </row>
    <row r="713" spans="9:13" ht="17.25" customHeight="1" x14ac:dyDescent="0.2">
      <c r="M7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61403</cp:lastModifiedBy>
  <dcterms:created xsi:type="dcterms:W3CDTF">2024-08-16T10:13:46Z</dcterms:created>
  <dcterms:modified xsi:type="dcterms:W3CDTF">2024-08-16T10:36:58Z</dcterms:modified>
</cp:coreProperties>
</file>